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6403e3423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tion Inventory" sheetId="1" r:id="R0d73e5a9e0ba4b60"/>
    <x:sheet xmlns:r="http://schemas.openxmlformats.org/officeDocument/2006/relationships" name="Key Portals" sheetId="2" r:id="Rc76ac544a584457f"/>
    <x:sheet xmlns:r="http://schemas.openxmlformats.org/officeDocument/2006/relationships" name="Use Case Map" sheetId="3" r:id="Rbe677b90f312416a"/>
    <x:sheet xmlns:r="http://schemas.openxmlformats.org/officeDocument/2006/relationships" name="Dashboard" sheetId="4" r:id="Rbcdd1eebf10c4ce2"/>
    <x:sheet xmlns:r="http://schemas.openxmlformats.org/officeDocument/2006/relationships" name="Buoy Data Sources" sheetId="5" r:id="Ra70e1359c2584e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2">
    <x:dxf>
      <x:font>
        <x:b/>
      </x:font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ont>
        <x:b/>
      </x:font>
      <x:fill>
        <x:patternFill>
          <x:bgColor rgb="FFA9D18E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A9D18E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 patternType="solid">
          <x:bgColor rgb="FFA9D18E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A9D18E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6d27afc9c2435c" /><Relationship Type="http://schemas.openxmlformats.org/officeDocument/2006/relationships/theme" Target="/xl/theme/theme1.xml" Id="R3fafd4d49afd483e" /><Relationship Type="http://schemas.openxmlformats.org/officeDocument/2006/relationships/sharedStrings" Target="/xl/sharedStrings.xml" Id="R21a4f5a47c3e4f6a" /><Relationship Type="http://schemas.openxmlformats.org/officeDocument/2006/relationships/worksheet" Target="/xl/worksheets/sheet1.xml" Id="R0d73e5a9e0ba4b60" /><Relationship Type="http://schemas.openxmlformats.org/officeDocument/2006/relationships/worksheet" Target="/xl/worksheets/sheet2.xml" Id="Rc76ac544a584457f" /><Relationship Type="http://schemas.openxmlformats.org/officeDocument/2006/relationships/worksheet" Target="/xl/worksheets/sheet3.xml" Id="Rbe677b90f312416a" /><Relationship Type="http://schemas.openxmlformats.org/officeDocument/2006/relationships/worksheet" Target="/xl/worksheets/sheet4.xml" Id="Rbcdd1eebf10c4ce2" /><Relationship Type="http://schemas.openxmlformats.org/officeDocument/2006/relationships/worksheet" Target="/xl/worksheets/sheet5.xml" Id="Ra70e1359c2584e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e269ae4b5245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Sources by Ingestion Priority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'Dashboard'!$D$11:$D$13</c:f>
              <c:strCache>
                <c:ptCount val="0"/>
              </c:strCache>
            </c:strRef>
          </c:cat>
          <c:val>
            <c:numRef>
              <c:f>'Dashboard'!$E$11:$E$13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e269ae4b5245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rineObservationsTable" displayName="MarineObservationsTable" ref="A1:R58" headerRowCount="1" totalsRowCount="0" totalsRowShown="0">
  <x:tableColumns count="18">
    <x:tableColumn id="1" name="ID"/>
    <x:tableColumn id="2" name="Layer"/>
    <x:tableColumn id="3" name="Domain"/>
    <x:tableColumn id="4" name="Source / Network"/>
    <x:tableColumn id="5" name="Platform / Sensor"/>
    <x:tableColumn id="6" name="Primary Variables"/>
    <x:tableColumn id="7" name="Spatial Coverage"/>
    <x:tableColumn id="8" name="Sampling / Resolution"/>
    <x:tableColumn id="9" name="Typical Latency"/>
    <x:tableColumn id="10" name="Access Method"/>
    <x:tableColumn id="11" name="Common Formats"/>
    <x:tableColumn id="12" name="QC Maturity"/>
    <x:tableColumn id="13" name="Licensing / Access"/>
    <x:tableColumn id="14" name="Operational DA Suitability"/>
    <x:tableColumn id="15" name="Historical / ML Suitability"/>
    <x:tableColumn id="16" name="Ingestion Priority"/>
    <x:tableColumn id="17" name="Implementation Notes"/>
    <x:tableColumn id="18" name="Official Data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inePortalsTable" displayName="MarinePortalsTable" ref="A1:H12" headerRowCount="1" totalsRowCount="0" totalsRowShown="0">
  <x:tableColumns count="8">
    <x:tableColumn id="1" name="Portal / Service"/>
    <x:tableColumn id="2" name="Primary Role"/>
    <x:tableColumn id="3" name="Best For"/>
    <x:tableColumn id="4" name="Programmatic Access"/>
    <x:tableColumn id="5" name="Formats"/>
    <x:tableColumn id="6" name="Latency Profile"/>
    <x:tableColumn id="7" name="Key Caveat"/>
    <x:tableColumn id="8" name="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rineUseCasesTable" displayName="MarineUseCasesTable" ref="A1:E8" headerRowCount="1" totalsRowCount="0" totalsRowShown="0">
  <x:tableColumns count="5">
    <x:tableColumn id="1" name="Use Case"/>
    <x:tableColumn id="2" name="P0 / First Ingest"/>
    <x:tableColumn id="3" name="P1 / Add Next"/>
    <x:tableColumn id="4" name="Specialized / P2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dad329a91943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1d70ca988241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f24df020ad48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c38d3e5967c495c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20" hidden="0" customWidth="1"/>
    <x:col min="4" max="4" width="30" hidden="0" customWidth="1"/>
    <x:col min="5" max="5" width="28" hidden="0" customWidth="1"/>
    <x:col min="6" max="6" width="42" hidden="0" customWidth="1"/>
    <x:col min="7" max="7" width="30" hidden="0" customWidth="1"/>
    <x:col min="8" max="8" width="32" hidden="0" customWidth="1"/>
    <x:col min="9" max="9" width="32" hidden="0" customWidth="1"/>
    <x:col min="10" max="10" width="35" hidden="0" customWidth="1"/>
    <x:col min="11" max="11" width="25" hidden="0" customWidth="1"/>
    <x:col min="12" max="12" width="30" hidden="0" customWidth="1"/>
    <x:col min="13" max="13" width="30" hidden="0" customWidth="1"/>
    <x:col min="14" max="14" width="20" hidden="0" customWidth="1"/>
    <x:col min="15" max="15" width="20" hidden="0" customWidth="1"/>
    <x:col min="16" max="16" width="16" hidden="0" customWidth="1"/>
    <x:col min="17" max="17" width="46" hidden="0" customWidth="1"/>
    <x:col min="18" max="18" width="50" hidden="0" customWidth="1"/>
  </x:cols>
  <x:sheetData>
    <x:row r="1">
      <x:c r="A1" s="14" t="str">
        <x:v>ID</x:v>
      </x:c>
      <x:c r="B1" s="14" t="str">
        <x:v>Layer</x:v>
      </x:c>
      <x:c r="C1" s="14" t="str">
        <x:v>Domain</x:v>
      </x:c>
      <x:c r="D1" s="14" t="str">
        <x:v>Source / Network</x:v>
      </x:c>
      <x:c r="E1" s="14" t="str">
        <x:v>Platform / Sensor</x:v>
      </x:c>
      <x:c r="F1" s="14" t="str">
        <x:v>Primary Variables</x:v>
      </x:c>
      <x:c r="G1" s="14" t="str">
        <x:v>Spatial Coverage</x:v>
      </x:c>
      <x:c r="H1" s="14" t="str">
        <x:v>Sampling / Resolution</x:v>
      </x:c>
      <x:c r="I1" s="14" t="str">
        <x:v>Typical Latency</x:v>
      </x:c>
      <x:c r="J1" s="14" t="str">
        <x:v>Access Method</x:v>
      </x:c>
      <x:c r="K1" s="14" t="str">
        <x:v>Common Formats</x:v>
      </x:c>
      <x:c r="L1" s="14" t="str">
        <x:v>QC Maturity</x:v>
      </x:c>
      <x:c r="M1" s="14" t="str">
        <x:v>Licensing / Access</x:v>
      </x:c>
      <x:c r="N1" s="14" t="str">
        <x:v>Operational DA Suitability</x:v>
      </x:c>
      <x:c r="O1" s="14" t="str">
        <x:v>Historical / ML Suitability</x:v>
      </x:c>
      <x:c r="P1" s="14" t="str">
        <x:v>Ingestion Priority</x:v>
      </x:c>
      <x:c r="Q1" s="14" t="str">
        <x:v>Implementation Notes</x:v>
      </x:c>
      <x:c r="R1" s="14" t="str">
        <x:v>Official Data URL</x:v>
      </x:c>
    </x:row>
    <x:row r="2">
      <x:c r="A2" s="15" t="n">
        <x:v>1</x:v>
      </x:c>
      <x:c r="B2" s="15" t="str">
        <x:v>Direct network</x:v>
      </x:c>
      <x:c r="C2" s="15" t="str">
        <x:v>Physical ocean</x:v>
      </x:c>
      <x:c r="D2" s="15" t="str">
        <x:v>Core Argo</x:v>
      </x:c>
      <x:c r="E2" s="15" t="str">
        <x:v>Autonomous profiling floats</x:v>
      </x:c>
      <x:c r="F2" s="15" t="str">
        <x:v>T, S, pressure; derived density</x:v>
      </x:c>
      <x:c r="G2" s="15" t="str">
        <x:v>Global ice-free and increasingly seasonal-ice ocean</x:v>
      </x:c>
      <x:c r="H2" s="15" t="str">
        <x:v>Typical float profile cycle ~10 days; vertical profiles to ~2000 m</x:v>
      </x:c>
      <x:c r="I2" s="15" t="str">
        <x:v>NRT target ~12–24 h after transmission; delayed-mode later</x:v>
      </x:c>
      <x:c r="J2" s="15" t="str">
        <x:v>Argo GDAC HTTP/FTP/rsync; ERDDAP and secondary portals</x:v>
      </x:c>
      <x:c r="K2" s="15" t="str">
        <x:v>NetCDF</x:v>
      </x:c>
      <x:c r="L2" s="15" t="str">
        <x:v>Very high: automated RT QC + expert delayed-mode QC</x:v>
      </x:c>
      <x:c r="M2" s="15" t="str">
        <x:v>Open; citation/acknowledgment required</x:v>
      </x:c>
      <x:c r="N2" s="15" t="str">
        <x:v>High</x:v>
      </x:c>
      <x:c r="O2" s="15" t="str">
        <x:v>High</x:v>
      </x:c>
      <x:c r="P2" s="15" t="str">
        <x:v>P0</x:v>
      </x:c>
      <x:c r="Q2" s="15" t="str">
        <x:v>Foundational global subsurface T/S source. Use adjusted variables and QC flags for training/DA.</x:v>
      </x:c>
      <x:c r="R2" s="15" t="str">
        <x:v>https://argo.ucsd.edu/data/data-from-gdacs/</x:v>
      </x:c>
    </x:row>
    <x:row r="3">
      <x:c r="A3" s="15" t="n">
        <x:v>2</x:v>
      </x:c>
      <x:c r="B3" s="15" t="str">
        <x:v>Direct network</x:v>
      </x:c>
      <x:c r="C3" s="15" t="str">
        <x:v>Physical ocean</x:v>
      </x:c>
      <x:c r="D3" s="15" t="str">
        <x:v>Deep Argo</x:v>
      </x:c>
      <x:c r="E3" s="15" t="str">
        <x:v>Deep profiling floats</x:v>
      </x:c>
      <x:c r="F3" s="15" t="str">
        <x:v>T, S, pressure</x:v>
      </x:c>
      <x:c r="G3" s="15" t="str">
        <x:v>Global deep ocean; sparse relative to Core Argo</x:v>
      </x:c>
      <x:c r="H3" s="15" t="str">
        <x:v>Profiles extending to ~4000–6000 m; mission-dependent cycle</x:v>
      </x:c>
      <x:c r="I3" s="15" t="str">
        <x:v>NRT where transmitted; delayed-mode calibration later</x:v>
      </x:c>
      <x:c r="J3" s="15" t="str">
        <x:v>Argo GDACs</x:v>
      </x:c>
      <x:c r="K3" s="15" t="str">
        <x:v>NetCDF</x:v>
      </x:c>
      <x:c r="L3" s="15" t="str">
        <x:v>High; Argo delayed-mode procedures</x:v>
      </x:c>
      <x:c r="M3" s="15" t="str">
        <x:v>Open; cite Argo</x:v>
      </x:c>
      <x:c r="N3" s="15" t="str">
        <x:v>Medium</x:v>
      </x:c>
      <x:c r="O3" s="15" t="str">
        <x:v>High</x:v>
      </x:c>
      <x:c r="P3" s="15" t="str">
        <x:v>P1</x:v>
      </x:c>
      <x:c r="Q3" s="15" t="str">
        <x:v>Critical for abyssal heat/salt content and deep-state ML; lower density than Core Argo.</x:v>
      </x:c>
      <x:c r="R3" s="15" t="str">
        <x:v>https://argo.ucsd.edu/expansion/deep-argo-mission/</x:v>
      </x:c>
    </x:row>
    <x:row r="4">
      <x:c r="A4" s="15" t="n">
        <x:v>3</x:v>
      </x:c>
      <x:c r="B4" s="15" t="str">
        <x:v>Direct network</x:v>
      </x:c>
      <x:c r="C4" s="15" t="str">
        <x:v>Biogeochemistry</x:v>
      </x:c>
      <x:c r="D4" s="15" t="str">
        <x:v>BGC-Argo</x:v>
      </x:c>
      <x:c r="E4" s="15" t="str">
        <x:v>Biogeochemical profiling floats</x:v>
      </x:c>
      <x:c r="F4" s="15" t="str">
        <x:v>T, S, O2, nitrate, pH, chlorophyll fluorescence, backscatter, irradiance; sensor-dependent</x:v>
      </x:c>
      <x:c r="G4" s="15" t="str">
        <x:v>Global, with strong Southern Ocean coverage but heterogeneous</x:v>
      </x:c>
      <x:c r="H4" s="15" t="str">
        <x:v>Profiles typically days-to-weeks; vertical to ~2000 m</x:v>
      </x:c>
      <x:c r="I4" s="15" t="str">
        <x:v>NRT variables plus delayed-mode scientific QC; variable-dependent</x:v>
      </x:c>
      <x:c r="J4" s="15" t="str">
        <x:v>Argo GDACs</x:v>
      </x:c>
      <x:c r="K4" s="15" t="str">
        <x:v>NetCDF</x:v>
      </x:c>
      <x:c r="L4" s="15" t="str">
        <x:v>High but variable-specific; delayed-mode essential for some BGC sensors</x:v>
      </x:c>
      <x:c r="M4" s="15" t="str">
        <x:v>Open; cite Argo/BGC-Argo</x:v>
      </x:c>
      <x:c r="N4" s="15" t="str">
        <x:v>Medium</x:v>
      </x:c>
      <x:c r="O4" s="15" t="str">
        <x:v>High</x:v>
      </x:c>
      <x:c r="P4" s="15" t="str">
        <x:v>P1</x:v>
      </x:c>
      <x:c r="Q4" s="15" t="str">
        <x:v>Best scalable global 3-D BGC source; QC complexity is higher than Core Argo.</x:v>
      </x:c>
      <x:c r="R4" s="15" t="str">
        <x:v>https://biogeochemical-argo.org/</x:v>
      </x:c>
    </x:row>
    <x:row r="5">
      <x:c r="A5" s="15" t="n">
        <x:v>4</x:v>
      </x:c>
      <x:c r="B5" s="15" t="str">
        <x:v>Direct network</x:v>
      </x:c>
      <x:c r="C5" s="15" t="str">
        <x:v>Surface ocean</x:v>
      </x:c>
      <x:c r="D5" s="15" t="str">
        <x:v>Global Drifter Program (GDP)</x:v>
      </x:c>
      <x:c r="E5" s="15" t="str">
        <x:v>Surface drifting buoys</x:v>
      </x:c>
      <x:c r="F5" s="15" t="str">
        <x:v>SST, position/surface currents; many with SLP; some wind/wave/salinity</x:v>
      </x:c>
      <x:c r="G5" s="15" t="str">
        <x:v>Global open ocean</x:v>
      </x:c>
      <x:c r="H5" s="15" t="str">
        <x:v>Hourly products available; raw transmissions often sub-daily</x:v>
      </x:c>
      <x:c r="I5" s="15" t="str">
        <x:v>Real-time stream available; QC delayed-mode database updated periodically</x:v>
      </x:c>
      <x:c r="J5" s="15" t="str">
        <x:v>NOAA AOML real-time, hourly and QC archives</x:v>
      </x:c>
      <x:c r="K5" s="15" t="str">
        <x:v>ASCII/CSV/NetCDF depending product</x:v>
      </x:c>
      <x:c r="L5" s="15" t="str">
        <x:v>High for delayed-mode; operational QC for RT</x:v>
      </x:c>
      <x:c r="M5" s="15" t="str">
        <x:v>Open/public NOAA data</x:v>
      </x:c>
      <x:c r="N5" s="15" t="str">
        <x:v>High</x:v>
      </x:c>
      <x:c r="O5" s="15" t="str">
        <x:v>High</x:v>
      </x:c>
      <x:c r="P5" s="15" t="str">
        <x:v>P0</x:v>
      </x:c>
      <x:c r="Q5" s="15" t="str">
        <x:v>Core source for Lagrangian surface currents and SST; distinguish drogued/undrogued periods.</x:v>
      </x:c>
      <x:c r="R5" s="15" t="str">
        <x:v>https://www.aoml.noaa.gov/global-drifter-program/</x:v>
      </x:c>
    </x:row>
    <x:row r="6">
      <x:c r="A6" s="15" t="n">
        <x:v>5</x:v>
      </x:c>
      <x:c r="B6" s="15" t="str">
        <x:v>Direct network</x:v>
      </x:c>
      <x:c r="C6" s="15" t="str">
        <x:v>Physical + marine met</x:v>
      </x:c>
      <x:c r="D6" s="15" t="str">
        <x:v>DBCP moored and drifting buoy networks</x:v>
      </x:c>
      <x:c r="E6" s="15" t="str">
        <x:v>Moored/drifting buoys</x:v>
      </x:c>
      <x:c r="F6" s="15" t="str">
        <x:v>SST, SLP, wind, air temperature, humidity, waves, T/S profiles; platform-dependent</x:v>
      </x:c>
      <x:c r="G6" s="15" t="str">
        <x:v>Global ocean, denser in NH/coastal basins</x:v>
      </x:c>
      <x:c r="H6" s="15" t="str">
        <x:v>Minutes to hours; network-dependent</x:v>
      </x:c>
      <x:c r="I6" s="15" t="str">
        <x:v>Operational NRT, commonly via WMO GTS/WIS2</x:v>
      </x:c>
      <x:c r="J6" s="15" t="str">
        <x:v>WIS2/GTS, national DACs, OceanOPS metadata</x:v>
      </x:c>
      <x:c r="K6" s="15" t="str">
        <x:v>BUFR plus national NetCDF/ASCII products</x:v>
      </x:c>
      <x:c r="L6" s="15" t="str">
        <x:v>Operational QC varies by operator; generally mature</x:v>
      </x:c>
      <x:c r="M6" s="15" t="str">
        <x:v>WMO/provider terms; many core observations open</x:v>
      </x:c>
      <x:c r="N6" s="15" t="str">
        <x:v>High</x:v>
      </x:c>
      <x:c r="O6" s="15" t="str">
        <x:v>Medium</x:v>
      </x:c>
      <x:c r="P6" s="15" t="str">
        <x:v>P0</x:v>
      </x:c>
      <x:c r="Q6" s="15" t="str">
        <x:v>Primary real-time buoy pathway for NWP/ocean systems; ingest platform metadata and WMO identifiers.</x:v>
      </x:c>
      <x:c r="R6" s="15" t="str">
        <x:v>https://www.ocean-ops.org/dbcp/</x:v>
      </x:c>
    </x:row>
    <x:row r="7">
      <x:c r="A7" s="15" t="n">
        <x:v>6</x:v>
      </x:c>
      <x:c r="B7" s="15" t="str">
        <x:v>Direct network</x:v>
      </x:c>
      <x:c r="C7" s="15" t="str">
        <x:v>Tropical ocean</x:v>
      </x:c>
      <x:c r="D7" s="15" t="str">
        <x:v>TAO/TRITON</x:v>
      </x:c>
      <x:c r="E7" s="15" t="str">
        <x:v>Tropical Pacific moored array</x:v>
      </x:c>
      <x:c r="F7" s="15" t="str">
        <x:v>T, S, currents, SST, wind, SLP, air T/RH, radiation; mooring-dependent</x:v>
      </x:c>
      <x:c r="G7" s="15" t="str">
        <x:v>Equatorial/tropical Pacific</x:v>
      </x:c>
      <x:c r="H7" s="15" t="str">
        <x:v>High-frequency observations; commonly hourly/sub-hourly</x:v>
      </x:c>
      <x:c r="I7" s="15" t="str">
        <x:v>NRT operational stream plus research-quality archives</x:v>
      </x:c>
      <x:c r="J7" s="15" t="str">
        <x:v>NOAA PMEL / WIS2-GTS / Copernicus in situ</x:v>
      </x:c>
      <x:c r="K7" s="15" t="str">
        <x:v>NetCDF/ASCII/BUFR via distribution systems</x:v>
      </x:c>
      <x:c r="L7" s="15" t="str">
        <x:v>High</x:v>
      </x:c>
      <x:c r="M7" s="15" t="str">
        <x:v>Open/public</x:v>
      </x:c>
      <x:c r="N7" s="15" t="str">
        <x:v>High</x:v>
      </x:c>
      <x:c r="O7" s="15" t="str">
        <x:v>High</x:v>
      </x:c>
      <x:c r="P7" s="15" t="str">
        <x:v>P0</x:v>
      </x:c>
      <x:c r="Q7" s="15" t="str">
        <x:v>High-value ENSO/tropical air-sea flux observations; regional rather than truly global by itself.</x:v>
      </x:c>
      <x:c r="R7" s="15" t="str">
        <x:v>https://www.pmel.noaa.gov/tao/drupal/</x:v>
      </x:c>
    </x:row>
    <x:row r="8">
      <x:c r="A8" s="15" t="n">
        <x:v>7</x:v>
      </x:c>
      <x:c r="B8" s="15" t="str">
        <x:v>Direct network</x:v>
      </x:c>
      <x:c r="C8" s="15" t="str">
        <x:v>Tropical ocean</x:v>
      </x:c>
      <x:c r="D8" s="15" t="str">
        <x:v>PIRATA</x:v>
      </x:c>
      <x:c r="E8" s="15" t="str">
        <x:v>Tropical Atlantic moored array</x:v>
      </x:c>
      <x:c r="F8" s="15" t="str">
        <x:v>T, S, currents, SST, wind, SLP, air T/RH, radiation; mooring-dependent</x:v>
      </x:c>
      <x:c r="G8" s="15" t="str">
        <x:v>Tropical Atlantic</x:v>
      </x:c>
      <x:c r="H8" s="15" t="str">
        <x:v>High-frequency</x:v>
      </x:c>
      <x:c r="I8" s="15" t="str">
        <x:v>NRT + delayed/research archive</x:v>
      </x:c>
      <x:c r="J8" s="15" t="str">
        <x:v>NOAA PMEL / IRD / WIS2-GTS / Copernicus</x:v>
      </x:c>
      <x:c r="K8" s="15" t="str">
        <x:v>NetCDF/ASCII/BUFR</x:v>
      </x:c>
      <x:c r="L8" s="15" t="str">
        <x:v>High</x:v>
      </x:c>
      <x:c r="M8" s="15" t="str">
        <x:v>Open/public</x:v>
      </x:c>
      <x:c r="N8" s="15" t="str">
        <x:v>High</x:v>
      </x:c>
      <x:c r="O8" s="15" t="str">
        <x:v>High</x:v>
      </x:c>
      <x:c r="P8" s="15" t="str">
        <x:v>P0</x:v>
      </x:c>
      <x:c r="Q8" s="15" t="str">
        <x:v>Tropical Atlantic counterpart to TAO; important for air-sea flux and seasonal prediction.</x:v>
      </x:c>
      <x:c r="R8" s="15" t="str">
        <x:v>https://www.pmel.noaa.gov/gtmba/pirata/</x:v>
      </x:c>
    </x:row>
    <x:row r="9">
      <x:c r="A9" s="15" t="n">
        <x:v>8</x:v>
      </x:c>
      <x:c r="B9" s="15" t="str">
        <x:v>Direct network</x:v>
      </x:c>
      <x:c r="C9" s="15" t="str">
        <x:v>Tropical ocean</x:v>
      </x:c>
      <x:c r="D9" s="15" t="str">
        <x:v>RAMA</x:v>
      </x:c>
      <x:c r="E9" s="15" t="str">
        <x:v>Indian Ocean moored array</x:v>
      </x:c>
      <x:c r="F9" s="15" t="str">
        <x:v>T, S, currents, SST, wind, SLP, air T/RH, radiation; mooring-dependent</x:v>
      </x:c>
      <x:c r="G9" s="15" t="str">
        <x:v>Tropical Indian Ocean</x:v>
      </x:c>
      <x:c r="H9" s="15" t="str">
        <x:v>High-frequency</x:v>
      </x:c>
      <x:c r="I9" s="15" t="str">
        <x:v>NRT where telemetry supports; delayed archives</x:v>
      </x:c>
      <x:c r="J9" s="15" t="str">
        <x:v>NOAA PMEL / WIS2-GTS / Copernicus</x:v>
      </x:c>
      <x:c r="K9" s="15" t="str">
        <x:v>NetCDF/ASCII/BUFR</x:v>
      </x:c>
      <x:c r="L9" s="15" t="str">
        <x:v>High</x:v>
      </x:c>
      <x:c r="M9" s="15" t="str">
        <x:v>Open/public</x:v>
      </x:c>
      <x:c r="N9" s="15" t="str">
        <x:v>High</x:v>
      </x:c>
      <x:c r="O9" s="15" t="str">
        <x:v>High</x:v>
      </x:c>
      <x:c r="P9" s="15" t="str">
        <x:v>P0</x:v>
      </x:c>
      <x:c r="Q9" s="15" t="str">
        <x:v>Key for Indian Ocean monsoon/MJO and tropical initialization.</x:v>
      </x:c>
      <x:c r="R9" s="15" t="str">
        <x:v>https://www.pmel.noaa.gov/gtmba/pmel-theme/indian-ocean-rama</x:v>
      </x:c>
    </x:row>
    <x:row r="10">
      <x:c r="A10" s="15" t="n">
        <x:v>9</x:v>
      </x:c>
      <x:c r="B10" s="15" t="str">
        <x:v>Direct network</x:v>
      </x:c>
      <x:c r="C10" s="15" t="str">
        <x:v>Reference time series</x:v>
      </x:c>
      <x:c r="D10" s="15" t="str">
        <x:v>OceanSITES</x:v>
      </x:c>
      <x:c r="E10" s="15" t="str">
        <x:v>Deep-ocean reference moorings</x:v>
      </x:c>
      <x:c r="F10" s="15" t="str">
        <x:v>T, S, currents, meteorology, O2, carbon/BGC, radiation, sediment; site-dependent</x:v>
      </x:c>
      <x:c r="G10" s="15" t="str">
        <x:v>Global fixed reference sites, sparse</x:v>
      </x:c>
      <x:c r="H10" s="15" t="str">
        <x:v>Minutes to hours; long-duration time series</x:v>
      </x:c>
      <x:c r="I10" s="15" t="str">
        <x:v>Mix of NRT and delayed/reprocessed</x:v>
      </x:c>
      <x:c r="J10" s="15" t="str">
        <x:v>OceanSITES GDACs / site operators</x:v>
      </x:c>
      <x:c r="K10" s="15" t="str">
        <x:v>CF-NetCDF</x:v>
      </x:c>
      <x:c r="L10" s="15" t="str">
        <x:v>Very high reference-quality, site-dependent</x:v>
      </x:c>
      <x:c r="M10" s="15" t="str">
        <x:v>Generally open/FAIR; site terms apply</x:v>
      </x:c>
      <x:c r="N10" s="15" t="str">
        <x:v>Medium</x:v>
      </x:c>
      <x:c r="O10" s="15" t="str">
        <x:v>High</x:v>
      </x:c>
      <x:c r="P10" s="15" t="str">
        <x:v>P1</x:v>
      </x:c>
      <x:c r="Q10" s="15" t="str">
        <x:v>Excellent calibration/validation and regime-learning source; sparse spatially.</x:v>
      </x:c>
      <x:c r="R10" s="15" t="str">
        <x:v>https://www.oceansites.org/data/</x:v>
      </x:c>
    </x:row>
    <x:row r="11">
      <x:c r="A11" s="15" t="n">
        <x:v>10</x:v>
      </x:c>
      <x:c r="B11" s="15" t="str">
        <x:v>Direct network</x:v>
      </x:c>
      <x:c r="C11" s="15" t="str">
        <x:v>Marine meteorology</x:v>
      </x:c>
      <x:c r="D11" s="15" t="str">
        <x:v>Voluntary Observing Ships (VOS)</x:v>
      </x:c>
      <x:c r="E11" s="15" t="str">
        <x:v>Commercial/research ships</x:v>
      </x:c>
      <x:c r="F11" s="15" t="str">
        <x:v>SLP, air T/RH, SST, wind, waves, weather, visibility, clouds</x:v>
      </x:c>
      <x:c r="G11" s="15" t="str">
        <x:v>Global shipping routes</x:v>
      </x:c>
      <x:c r="H11" s="15" t="str">
        <x:v>Synoptic observations, often 1–6 hourly while underway</x:v>
      </x:c>
      <x:c r="I11" s="15" t="str">
        <x:v>Real-time through WMO systems</x:v>
      </x:c>
      <x:c r="J11" s="15" t="str">
        <x:v>WIS2/GTS; ICOADS for archive</x:v>
      </x:c>
      <x:c r="K11" s="15" t="str">
        <x:v>BUFR/SHIP codes; ICOADS IMMA/NetCDF</x:v>
      </x:c>
      <x:c r="L11" s="15" t="str">
        <x:v>Operational QC + archive QC</x:v>
      </x:c>
      <x:c r="M11" s="15" t="str">
        <x:v>WMO/provider policy; archive broadly open</x:v>
      </x:c>
      <x:c r="N11" s="15" t="str">
        <x:v>High</x:v>
      </x:c>
      <x:c r="O11" s="15" t="str">
        <x:v>High</x:v>
      </x:c>
      <x:c r="P11" s="15" t="str">
        <x:v>P0</x:v>
      </x:c>
      <x:c r="Q11" s="15" t="str">
        <x:v>Essential marine atmospheric observations; strong route sampling bias.</x:v>
      </x:c>
      <x:c r="R11" s="15" t="str">
        <x:v>https://community.wmo.int/en/activity-areas/marine/voluntary-observing-ship-scheme</x:v>
      </x:c>
    </x:row>
    <x:row r="12">
      <x:c r="A12" s="15" t="n">
        <x:v>11</x:v>
      </x:c>
      <x:c r="B12" s="15" t="str">
        <x:v>Direct network</x:v>
      </x:c>
      <x:c r="C12" s="15" t="str">
        <x:v>Subsurface ocean</x:v>
      </x:c>
      <x:c r="D12" s="15" t="str">
        <x:v>Ships of Opportunity / XBT-XCTD</x:v>
      </x:c>
      <x:c r="E12" s="15" t="str">
        <x:v>Merchant/research ships deploying expendables</x:v>
      </x:c>
      <x:c r="F12" s="15" t="str">
        <x:v>Temperature profiles; some salinity/conductivity; underway T/S where instrumented</x:v>
      </x:c>
      <x:c r="G12" s="15" t="str">
        <x:v>Repeat global shipping transects</x:v>
      </x:c>
      <x:c r="H12" s="15" t="str">
        <x:v>Transect/event based</x:v>
      </x:c>
      <x:c r="I12" s="15" t="str">
        <x:v>Some NRT via WMO; higher-quality archives delayed</x:v>
      </x:c>
      <x:c r="J12" s="15" t="str">
        <x:v>WIS2/GTS, WOD, national centers, SOOP</x:v>
      </x:c>
      <x:c r="K12" s="15" t="str">
        <x:v>BUFR/BATHY/TESAC; NetCDF/ASCII in archives</x:v>
      </x:c>
      <x:c r="L12" s="15" t="str">
        <x:v>Moderate to high; probe-bias corrections important</x:v>
      </x:c>
      <x:c r="M12" s="15" t="str">
        <x:v>Generally open through archives</x:v>
      </x:c>
      <x:c r="N12" s="15" t="str">
        <x:v>Medium</x:v>
      </x:c>
      <x:c r="O12" s="15" t="str">
        <x:v>High</x:v>
      </x:c>
      <x:c r="P12" s="15" t="str">
        <x:v>P1</x:v>
      </x:c>
      <x:c r="Q12" s="15" t="str">
        <x:v>Long climate record and repeat sections; account for XBT fall-rate/bias corrections.</x:v>
      </x:c>
      <x:c r="R12" s="15" t="str">
        <x:v>https://goosocean.org/who-we-are/observations-coordination-group/global-ocean-observing-networks/</x:v>
      </x:c>
    </x:row>
    <x:row r="13">
      <x:c r="A13" s="15" t="n">
        <x:v>12</x:v>
      </x:c>
      <x:c r="B13" s="15" t="str">
        <x:v>Direct network</x:v>
      </x:c>
      <x:c r="C13" s="15" t="str">
        <x:v>Hydrography + BGC</x:v>
      </x:c>
      <x:c r="D13" s="15" t="str">
        <x:v>GO-SHIP / CCHDO</x:v>
      </x:c>
      <x:c r="E13" s="15" t="str">
        <x:v>Reference hydrographic research cruises</x:v>
      </x:c>
      <x:c r="F13" s="15" t="str">
        <x:v>Full-depth CTD T/S/O2; DIC, alkalinity, pH, nutrients, tracers, carbon, BGC</x:v>
      </x:c>
      <x:c r="G13" s="15" t="str">
        <x:v>Global repeat hydrographic sections</x:v>
      </x:c>
      <x:c r="H13" s="15" t="str">
        <x:v>Cruise occupations; repeat years</x:v>
      </x:c>
      <x:c r="I13" s="15" t="str">
        <x:v>Delayed; preliminary data may appear months after cruise, final QC later</x:v>
      </x:c>
      <x:c r="J13" s="15" t="str">
        <x:v>CCHDO search/ERDDAP/direct download</x:v>
      </x:c>
      <x:c r="K13" s="15" t="str">
        <x:v>CF-NetCDF, WHP-Exchange CSV, WOCE</x:v>
      </x:c>
      <x:c r="L13" s="15" t="str">
        <x:v>Reference-quality / very high</x:v>
      </x:c>
      <x:c r="M13" s="15" t="str">
        <x:v>CCHDO generally CC0 by default; some CC BY</x:v>
      </x:c>
      <x:c r="N13" s="15" t="str">
        <x:v>Low</x:v>
      </x:c>
      <x:c r="O13" s="15" t="str">
        <x:v>High</x:v>
      </x:c>
      <x:c r="P13" s="15" t="str">
        <x:v>P1</x:v>
      </x:c>
      <x:c r="Q13" s="15" t="str">
        <x:v>Gold-standard reference data for calibration, bias correction, deep ocean and BGC.</x:v>
      </x:c>
      <x:c r="R13" s="15" t="str">
        <x:v>https://cchdo.ucsd.edu/</x:v>
      </x:c>
    </x:row>
    <x:row r="14">
      <x:c r="A14" s="15" t="n">
        <x:v>13</x:v>
      </x:c>
      <x:c r="B14" s="15" t="str">
        <x:v>Direct network</x:v>
      </x:c>
      <x:c r="C14" s="15" t="str">
        <x:v>Physical + BGC</x:v>
      </x:c>
      <x:c r="D14" s="15" t="str">
        <x:v>OceanGliders</x:v>
      </x:c>
      <x:c r="E14" s="15" t="str">
        <x:v>Underwater gliders</x:v>
      </x:c>
      <x:c r="F14" s="15" t="str">
        <x:v>T, S, pressure, O2, chlorophyll, backscatter, nitrate, acoustics; payload-dependent</x:v>
      </x:c>
      <x:c r="G14" s="15" t="str">
        <x:v>Global deployments but spatially heterogeneous; often boundary/coastal/regional</x:v>
      </x:c>
      <x:c r="H14" s="15" t="str">
        <x:v>Profiles every hours; missions weeks-to-months</x:v>
      </x:c>
      <x:c r="I14" s="15" t="str">
        <x:v>Often NRT during missions; delayed QC later</x:v>
      </x:c>
      <x:c r="J14" s="15" t="str">
        <x:v>Regional DACs + OceanOPS metadata; Copernicus in situ where contributed</x:v>
      </x:c>
      <x:c r="K14" s="15" t="str">
        <x:v>CF-NetCDF variants / OG formats</x:v>
      </x:c>
      <x:c r="L14" s="15" t="str">
        <x:v>Variable by DAC; improving harmonization</x:v>
      </x:c>
      <x:c r="M14" s="15" t="str">
        <x:v>Generally open where contributed; operator terms vary</x:v>
      </x:c>
      <x:c r="N14" s="15" t="str">
        <x:v>Medium</x:v>
      </x:c>
      <x:c r="O14" s="15" t="str">
        <x:v>High</x:v>
      </x:c>
      <x:c r="P14" s="15" t="str">
        <x:v>P1</x:v>
      </x:c>
      <x:c r="Q14" s="15" t="str">
        <x:v>High-resolution sections and boundary-current sampling; requires format harmonization.</x:v>
      </x:c>
      <x:c r="R14" s="15" t="str">
        <x:v>https://www.oceangliders.org/</x:v>
      </x:c>
    </x:row>
    <x:row r="15">
      <x:c r="A15" s="15" t="n">
        <x:v>14</x:v>
      </x:c>
      <x:c r="B15" s="15" t="str">
        <x:v>Direct network</x:v>
      </x:c>
      <x:c r="C15" s="15" t="str">
        <x:v>Polar physical ocean</x:v>
      </x:c>
      <x:c r="D15" s="15" t="str">
        <x:v>AniBOS / MEOP</x:v>
      </x:c>
      <x:c r="E15" s="15" t="str">
        <x:v>Animal-borne CTD tags</x:v>
      </x:c>
      <x:c r="F15" s="15" t="str">
        <x:v>T, S profiles; animal position/depth/behavior metadata</x:v>
      </x:c>
      <x:c r="G15" s="15" t="str">
        <x:v>Global high-latitude and inaccessible regions; strongest polar coverage</x:v>
      </x:c>
      <x:c r="H15" s="15" t="str">
        <x:v>Profiles throughout animal tracks</x:v>
      </x:c>
      <x:c r="I15" s="15" t="str">
        <x:v>Some near-real-time; curated data delayed</x:v>
      </x:c>
      <x:c r="J15" s="15" t="str">
        <x:v>MEOP today; AniBOS portal emerging</x:v>
      </x:c>
      <x:c r="K15" s="15" t="str">
        <x:v>NetCDF</x:v>
      </x:c>
      <x:c r="L15" s="15" t="str">
        <x:v>High after post-processing; RT quality more limited</x:v>
      </x:c>
      <x:c r="M15" s="15" t="str">
        <x:v>Freely available; citation/data-use terms apply</x:v>
      </x:c>
      <x:c r="N15" s="15" t="str">
        <x:v>Medium</x:v>
      </x:c>
      <x:c r="O15" s="15" t="str">
        <x:v>High</x:v>
      </x:c>
      <x:c r="P15" s="15" t="str">
        <x:v>P1</x:v>
      </x:c>
      <x:c r="Q15" s="15" t="str">
        <x:v>Unique under-ice/polar sampling that fills Argo gaps.</x:v>
      </x:c>
      <x:c r="R15" s="15" t="str">
        <x:v>https://www.meop.net/</x:v>
      </x:c>
    </x:row>
    <x:row r="16">
      <x:c r="A16" s="15" t="n">
        <x:v>15</x:v>
      </x:c>
      <x:c r="B16" s="15" t="str">
        <x:v>Direct network</x:v>
      </x:c>
      <x:c r="C16" s="15" t="str">
        <x:v>Sea level</x:v>
      </x:c>
      <x:c r="D16" s="15" t="str">
        <x:v>GLOSS</x:v>
      </x:c>
      <x:c r="E16" s="15" t="str">
        <x:v>Coastal tide gauges</x:v>
      </x:c>
      <x:c r="F16" s="15" t="str">
        <x:v>Sea level, tides, surge/tsunami signals; GNSS at selected sites</x:v>
      </x:c>
      <x:c r="G16" s="15" t="str">
        <x:v>Global coastlines/islands</x:v>
      </x:c>
      <x:c r="H16" s="15" t="str">
        <x:v>Usually 1–60 min high-frequency; hourly/monthly products</x:v>
      </x:c>
      <x:c r="I16" s="15" t="str">
        <x:v>Real-time at many sites; fast mode ~weeks; delayed annual</x:v>
      </x:c>
      <x:c r="J16" s="15" t="str">
        <x:v>IOC Sea Level Monitoring, UHSLC, BODC, PSMSL</x:v>
      </x:c>
      <x:c r="K16" s="15" t="str">
        <x:v>Text/CSV/NetCDF depending center</x:v>
      </x:c>
      <x:c r="L16" s="15" t="str">
        <x:v>Multiple QC tiers: raw RT, preliminary, final delayed</x:v>
      </x:c>
      <x:c r="M16" s="15" t="str">
        <x:v>Generally open; center-specific terms</x:v>
      </x:c>
      <x:c r="N16" s="15" t="str">
        <x:v>High</x:v>
      </x:c>
      <x:c r="O16" s="15" t="str">
        <x:v>High</x:v>
      </x:c>
      <x:c r="P16" s="15" t="str">
        <x:v>P0</x:v>
      </x:c>
      <x:c r="Q16" s="15" t="str">
        <x:v>Primary in-situ sea-level reference; crucial for altimeter validation and surge/tide models.</x:v>
      </x:c>
      <x:c r="R16" s="15" t="str">
        <x:v>https://gloss-sealevel.org/data</x:v>
      </x:c>
    </x:row>
    <x:row r="17">
      <x:c r="A17" s="15" t="n">
        <x:v>16</x:v>
      </x:c>
      <x:c r="B17" s="15" t="str">
        <x:v>Direct network</x:v>
      </x:c>
      <x:c r="C17" s="15" t="str">
        <x:v>Tsunami/sea level</x:v>
      </x:c>
      <x:c r="D17" s="15" t="str">
        <x:v>Tsunami buoys / DART-type systems</x:v>
      </x:c>
      <x:c r="E17" s="15" t="str">
        <x:v>Bottom-pressure recorders + surface relay buoys</x:v>
      </x:c>
      <x:c r="F17" s="15" t="str">
        <x:v>Bottom pressure, sea-level anomalies; some surface met</x:v>
      </x:c>
      <x:c r="G17" s="15" t="str">
        <x:v>Ocean-basin-scale network concentrated in tsunami-prone regions</x:v>
      </x:c>
      <x:c r="H17" s="15" t="str">
        <x:v>High-frequency event-mode + routine telemetry</x:v>
      </x:c>
      <x:c r="I17" s="15" t="str">
        <x:v>Real-time to warning centers</x:v>
      </x:c>
      <x:c r="J17" s="15" t="str">
        <x:v>NOAA/National tsunami centers; WMO/IOC pathways</x:v>
      </x:c>
      <x:c r="K17" s="15" t="str">
        <x:v>Platform-specific / BUFR / text</x:v>
      </x:c>
      <x:c r="L17" s="15" t="str">
        <x:v>Operational mission QC</x:v>
      </x:c>
      <x:c r="M17" s="15" t="str">
        <x:v>Public subsets; national terms vary</x:v>
      </x:c>
      <x:c r="N17" s="15" t="str">
        <x:v>Medium</x:v>
      </x:c>
      <x:c r="O17" s="15" t="str">
        <x:v>Medium</x:v>
      </x:c>
      <x:c r="P17" s="15" t="str">
        <x:v>P1</x:v>
      </x:c>
      <x:c r="Q17" s="15" t="str">
        <x:v>Specialized but valuable for bottom-pressure/tsunami dynamics.</x:v>
      </x:c>
      <x:c r="R17" s="15" t="str">
        <x:v>https://goosocean.org/who-we-are/observations-coordination-group/global-ocean-observing-networks/</x:v>
      </x:c>
    </x:row>
    <x:row r="18">
      <x:c r="A18" s="15" t="n">
        <x:v>17</x:v>
      </x:c>
      <x:c r="B18" s="15" t="str">
        <x:v>Direct network</x:v>
      </x:c>
      <x:c r="C18" s="15" t="str">
        <x:v>Coastal currents</x:v>
      </x:c>
      <x:c r="D18" s="15" t="str">
        <x:v>Global High Frequency Radar Network</x:v>
      </x:c>
      <x:c r="E18" s="15" t="str">
        <x:v>Coastal HF radars</x:v>
      </x:c>
      <x:c r="F18" s="15" t="str">
        <x:v>Near-surface current vectors; some wave/wind products</x:v>
      </x:c>
      <x:c r="G18" s="15" t="str">
        <x:v>Coastal regions; global network concept with uneven coverage</x:v>
      </x:c>
      <x:c r="H18" s="15" t="str">
        <x:v>Typically hourly or sub-hourly grids</x:v>
      </x:c>
      <x:c r="I18" s="15" t="str">
        <x:v>NRT where operational</x:v>
      </x:c>
      <x:c r="J18" s="15" t="str">
        <x:v>Regional/national DACs; Copernicus/IOOS/etc. where shared</x:v>
      </x:c>
      <x:c r="K18" s="15" t="str">
        <x:v>NetCDF/OGC services</x:v>
      </x:c>
      <x:c r="L18" s="15" t="str">
        <x:v>Moderate-high, network-dependent</x:v>
      </x:c>
      <x:c r="M18" s="15" t="str">
        <x:v>Provider-dependent; many open</x:v>
      </x:c>
      <x:c r="N18" s="15" t="str">
        <x:v>Medium</x:v>
      </x:c>
      <x:c r="O18" s="15" t="str">
        <x:v>High</x:v>
      </x:c>
      <x:c r="P18" s="15" t="str">
        <x:v>P1</x:v>
      </x:c>
      <x:c r="Q18" s="15" t="str">
        <x:v>Best coastal surface-current source but not open-ocean global.</x:v>
      </x:c>
      <x:c r="R18" s="15" t="str">
        <x:v>https://goosocean.org/who-we-are/observations-coordination-group/global-ocean-observing-networks/</x:v>
      </x:c>
    </x:row>
    <x:row r="19">
      <x:c r="A19" s="15" t="n">
        <x:v>18</x:v>
      </x:c>
      <x:c r="B19" s="15" t="str">
        <x:v>Archive/aggregator</x:v>
      </x:c>
      <x:c r="C19" s="15" t="str">
        <x:v>Ocean profiles</x:v>
      </x:c>
      <x:c r="D19" s="15" t="str">
        <x:v>World Ocean Database (WOD)</x:v>
      </x:c>
      <x:c r="E19" s="15" t="str">
        <x:v>Aggregated casts/profiles</x:v>
      </x:c>
      <x:c r="F19" s="15" t="str">
        <x:v>T, S, O2, nutrients, tracers, plankton and many profile variables</x:v>
      </x:c>
      <x:c r="G19" s="15" t="str">
        <x:v>Global; historical to present</x:v>
      </x:c>
      <x:c r="H19" s="15" t="str">
        <x:v>Event/cast based</x:v>
      </x:c>
      <x:c r="I19" s="15" t="str">
        <x:v>Archive; updates rather than low-latency ops feed</x:v>
      </x:c>
      <x:c r="J19" s="15" t="str">
        <x:v>WODselect / bulk files</x:v>
      </x:c>
      <x:c r="K19" s="15" t="str">
        <x:v>WOD native ASCII, CSV, NetCDF</x:v>
      </x:c>
      <x:c r="L19" s="15" t="str">
        <x:v>Uniform QC across heterogeneous sources</x:v>
      </x:c>
      <x:c r="M19" s="15" t="str">
        <x:v>Public use without restriction</x:v>
      </x:c>
      <x:c r="N19" s="15" t="str">
        <x:v>Low</x:v>
      </x:c>
      <x:c r="O19" s="15" t="str">
        <x:v>Very High</x:v>
      </x:c>
      <x:c r="P19" s="15" t="str">
        <x:v>P0</x:v>
      </x:c>
      <x:c r="Q19" s="15" t="str">
        <x:v>Best global historical profile corpus for ML/climatology; deduplicate against direct feeds.</x:v>
      </x:c>
      <x:c r="R19" s="15" t="str">
        <x:v>https://www.ncei.noaa.gov/products/world-ocean-database</x:v>
      </x:c>
    </x:row>
    <x:row r="20">
      <x:c r="A20" s="15" t="n">
        <x:v>19</x:v>
      </x:c>
      <x:c r="B20" s="15" t="str">
        <x:v>Archive/aggregator</x:v>
      </x:c>
      <x:c r="C20" s="15" t="str">
        <x:v>Surface marine</x:v>
      </x:c>
      <x:c r="D20" s="15" t="str">
        <x:v>ICOADS</x:v>
      </x:c>
      <x:c r="E20" s="15" t="str">
        <x:v>Aggregated ships, buoys and platforms</x:v>
      </x:c>
      <x:c r="F20" s="15" t="str">
        <x:v>SST, air T, SLP, wind, humidity, waves, clouds/weather and metadata</x:v>
      </x:c>
      <x:c r="G20" s="15" t="str">
        <x:v>Global ocean; 1662-present</x:v>
      </x:c>
      <x:c r="H20" s="15" t="str">
        <x:v>Individual reports + monthly grids</x:v>
      </x:c>
      <x:c r="I20" s="15" t="str">
        <x:v>Daily NRT stream plus monthly archive</x:v>
      </x:c>
      <x:c r="J20" s="15" t="str">
        <x:v>NOAA NCEI bulk access</x:v>
      </x:c>
      <x:c r="K20" s="15" t="str">
        <x:v>IMMA1, NetCDF</x:v>
      </x:c>
      <x:c r="L20" s="15" t="str">
        <x:v>Extensive QC and metadata; heterogeneous historical source quality</x:v>
      </x:c>
      <x:c r="M20" s="15" t="str">
        <x:v>Freely distributed</x:v>
      </x:c>
      <x:c r="N20" s="15" t="str">
        <x:v>Medium</x:v>
      </x:c>
      <x:c r="O20" s="15" t="str">
        <x:v>Very High</x:v>
      </x:c>
      <x:c r="P20" s="15" t="str">
        <x:v>P0</x:v>
      </x:c>
      <x:c r="Q20" s="15" t="str">
        <x:v>Primary long-term surface marine climate training dataset.</x:v>
      </x:c>
      <x:c r="R20" s="15" t="str">
        <x:v>https://www.ncei.noaa.gov/products/international-comprehensive-ocean-atmosphere-data-set</x:v>
      </x:c>
    </x:row>
    <x:row r="21">
      <x:c r="A21" s="15" t="n">
        <x:v>20</x:v>
      </x:c>
      <x:c r="B21" s="15" t="str">
        <x:v>Archive/aggregator</x:v>
      </x:c>
      <x:c r="C21" s="15" t="str">
        <x:v>Multi-domain in situ</x:v>
      </x:c>
      <x:c r="D21" s="15" t="str">
        <x:v>Copernicus Marine Global In-Situ NRT</x:v>
      </x:c>
      <x:c r="E21" s="15" t="str">
        <x:v>Aggregated floats, drifters, moorings, ships, gliders, HF radar</x:v>
      </x:c>
      <x:c r="F21" s="15" t="str">
        <x:v>T, S, currents, waves, sea level and BGC variables; platform-dependent</x:v>
      </x:c>
      <x:c r="G21" s="15" t="str">
        <x:v>Global</x:v>
      </x:c>
      <x:c r="H21" s="15" t="str">
        <x:v>Irregular observations; platform native cadence</x:v>
      </x:c>
      <x:c r="I21" s="15" t="str">
        <x:v>Near-real-time with rolling latest datasets</x:v>
      </x:c>
      <x:c r="J21" s="15" t="str">
        <x:v>Copernicus Marine Toolbox CLI/Python, files, subset</x:v>
      </x:c>
      <x:c r="K21" s="15" t="str">
        <x:v>NetCDF; subset can output Zarr/CSV/Parquet</x:v>
      </x:c>
      <x:c r="L21" s="15" t="str">
        <x:v>Harmonized QC flags across contributing networks</x:v>
      </x:c>
      <x:c r="M21" s="15" t="str">
        <x:v>Copernicus free/open licence with attribution/citation</x:v>
      </x:c>
      <x:c r="N21" s="15" t="str">
        <x:v>Very High</x:v>
      </x:c>
      <x:c r="O21" s="15" t="str">
        <x:v>High</x:v>
      </x:c>
      <x:c r="P21" s="15" t="str">
        <x:v>P0</x:v>
      </x:c>
      <x:c r="Q21" s="15" t="str">
        <x:v>Excellent single operational in-situ ingestion endpoint; beware duplicates if ingesting original networks too.</x:v>
      </x:c>
      <x:c r="R21" s="15" t="str">
        <x:v>https://data.marine.copernicus.eu/product/INSITU_GLO_PHYBGCWAV_DISCRETE_MYNRT_013_030/services</x:v>
      </x:c>
    </x:row>
    <x:row r="22">
      <x:c r="A22" s="15" t="n">
        <x:v>21</x:v>
      </x:c>
      <x:c r="B22" s="15" t="str">
        <x:v>Archive/aggregator</x:v>
      </x:c>
      <x:c r="C22" s="15" t="str">
        <x:v>Temperature/salinity</x:v>
      </x:c>
      <x:c r="D22" s="15" t="str">
        <x:v>Copernicus CORA delayed-mode</x:v>
      </x:c>
      <x:c r="E22" s="15" t="str">
        <x:v>Reprocessed in-situ profiles</x:v>
      </x:c>
      <x:c r="F22" s="15" t="str">
        <x:v>Temperature, salinity</x:v>
      </x:c>
      <x:c r="G22" s="15" t="str">
        <x:v>Global</x:v>
      </x:c>
      <x:c r="H22" s="15" t="str">
        <x:v>Profile observations</x:v>
      </x:c>
      <x:c r="I22" s="15" t="str">
        <x:v>Annual/delayed-mode reprocessing</x:v>
      </x:c>
      <x:c r="J22" s="15" t="str">
        <x:v>Copernicus Marine Toolbox</x:v>
      </x:c>
      <x:c r="K22" s="15" t="str">
        <x:v>NetCDF/Zarr/CSV depending service</x:v>
      </x:c>
      <x:c r="L22" s="15" t="str">
        <x:v>High delayed-mode homogenized QC</x:v>
      </x:c>
      <x:c r="M22" s="15" t="str">
        <x:v>Copernicus licence</x:v>
      </x:c>
      <x:c r="N22" s="15" t="str">
        <x:v>Low</x:v>
      </x:c>
      <x:c r="O22" s="15" t="str">
        <x:v>Very High</x:v>
      </x:c>
      <x:c r="P22" s="15" t="str">
        <x:v>P1</x:v>
      </x:c>
      <x:c r="Q22" s="15" t="str">
        <x:v>Strong training/reanalysis corpus for T/S; use instead of NRT for stable ML baselines.</x:v>
      </x:c>
      <x:c r="R22" s="15" t="str">
        <x:v>https://data.marine.copernicus.eu/product/INSITU_GLO_PHY_TS_DISCRETE_MY_013_001/services</x:v>
      </x:c>
    </x:row>
    <x:row r="23">
      <x:c r="A23" s="15" t="n">
        <x:v>22</x:v>
      </x:c>
      <x:c r="B23" s="15" t="str">
        <x:v>Archive/aggregator</x:v>
      </x:c>
      <x:c r="C23" s="15" t="str">
        <x:v>Ocean currents</x:v>
      </x:c>
      <x:c r="D23" s="15" t="str">
        <x:v>Copernicus Global In-Situ Current Observations</x:v>
      </x:c>
      <x:c r="E23" s="15" t="str">
        <x:v>ADCP, drifter, mooring and other current records</x:v>
      </x:c>
      <x:c r="F23" s="15" t="str">
        <x:v>Surface and subsurface current components</x:v>
      </x:c>
      <x:c r="G23" s="15" t="str">
        <x:v>Global</x:v>
      </x:c>
      <x:c r="H23" s="15" t="str">
        <x:v>Irregular/platform-specific</x:v>
      </x:c>
      <x:c r="I23" s="15" t="str">
        <x:v>NRT and delayed products available</x:v>
      </x:c>
      <x:c r="J23" s="15" t="str">
        <x:v>Copernicus Marine Toolbox</x:v>
      </x:c>
      <x:c r="K23" s="15" t="str">
        <x:v>NetCDF/Zarr/CSV/Parquet depending service</x:v>
      </x:c>
      <x:c r="L23" s="15" t="str">
        <x:v>Harmonized QC</x:v>
      </x:c>
      <x:c r="M23" s="15" t="str">
        <x:v>Copernicus licence</x:v>
      </x:c>
      <x:c r="N23" s="15" t="str">
        <x:v>High</x:v>
      </x:c>
      <x:c r="O23" s="15" t="str">
        <x:v>High</x:v>
      </x:c>
      <x:c r="P23" s="15" t="str">
        <x:v>P1</x:v>
      </x:c>
      <x:c r="Q23" s="15" t="str">
        <x:v>Useful consolidated current feed beyond drifters; source/platform identifiers should be retained.</x:v>
      </x:c>
      <x:c r="R23" s="15" t="str">
        <x:v>https://data.marine.copernicus.eu/product/INSITU_GLO_PHY_UV_DISCRETE_NRT_013_048/services</x:v>
      </x:c>
    </x:row>
    <x:row r="24">
      <x:c r="A24" s="15" t="n">
        <x:v>23</x:v>
      </x:c>
      <x:c r="B24" s="15" t="str">
        <x:v>Operational exchange</x:v>
      </x:c>
      <x:c r="C24" s="15" t="str">
        <x:v>Marine met + ocean</x:v>
      </x:c>
      <x:c r="D24" s="15" t="str">
        <x:v>WMO WIS2 / legacy GTS marine feeds</x:v>
      </x:c>
      <x:c r="E24" s="15" t="str">
        <x:v>Global operational data exchange</x:v>
      </x:c>
      <x:c r="F24" s="15" t="str">
        <x:v>SHIP, BUOY, BATHY, TESAC and other marine observations; exact topics evolve</x:v>
      </x:c>
      <x:c r="G24" s="15" t="str">
        <x:v>Global WMO members and centers</x:v>
      </x:c>
      <x:c r="H24" s="15" t="str">
        <x:v>Event/synoptic; seconds-to-hours</x:v>
      </x:c>
      <x:c r="I24" s="15" t="str">
        <x:v>Real time</x:v>
      </x:c>
      <x:c r="J24" s="15" t="str">
        <x:v>MQTT publish-subscribe notifications + HTTPS downloads; legacy GTS transition</x:v>
      </x:c>
      <x:c r="K24" s="15" t="str">
        <x:v>BUFR and other WMO formats</x:v>
      </x:c>
      <x:c r="L24" s="15" t="str">
        <x:v>Operational center QC/provider QC</x:v>
      </x:c>
      <x:c r="M24" s="15" t="str">
        <x:v>WMO Unified Data Policy / dataset-specific terms</x:v>
      </x:c>
      <x:c r="N24" s="15" t="str">
        <x:v>Very High</x:v>
      </x:c>
      <x:c r="O24" s="15" t="str">
        <x:v>Medium</x:v>
      </x:c>
      <x:c r="P24" s="15" t="str">
        <x:v>P0</x:v>
      </x:c>
      <x:c r="Q24" s="15" t="str">
        <x:v>Best route for low-latency operational observations; requires WIS2 topic/subscription infrastructure.</x:v>
      </x:c>
      <x:c r="R24" s="15" t="str">
        <x:v>https://community.wmo.int/site/knowledge-hub/programmes-and-initiatives/wmo-information-system-wis/wis2-overview</x:v>
      </x:c>
    </x:row>
    <x:row r="25">
      <x:c r="A25" s="15" t="n">
        <x:v>24</x:v>
      </x:c>
      <x:c r="B25" s="15" t="str">
        <x:v>Satellite/product</x:v>
      </x:c>
      <x:c r="C25" s="15" t="str">
        <x:v>SST</x:v>
      </x:c>
      <x:c r="D25" s="15" t="str">
        <x:v>GHRSST L2P</x:v>
      </x:c>
      <x:c r="E25" s="15" t="str">
        <x:v>Multi-sensor satellite SST swaths</x:v>
      </x:c>
      <x:c r="F25" s="15" t="str">
        <x:v>Sea surface temperature, uncertainty, quality flags, auxiliary fields</x:v>
      </x:c>
      <x:c r="G25" s="15" t="str">
        <x:v>Global; sensor/cloud dependent</x:v>
      </x:c>
      <x:c r="H25" s="15" t="str">
        <x:v>Swath resolution ~1 km to tens km; multiple passes/day collectively</x:v>
      </x:c>
      <x:c r="I25" s="15" t="str">
        <x:v>Near-real-time at GDAC; exact latency sensor-dependent</x:v>
      </x:c>
      <x:c r="J25" s="15" t="str">
        <x:v>NASA PO.DAAC GHRSST GDAC / Earthdata</x:v>
      </x:c>
      <x:c r="K25" s="15" t="str">
        <x:v>GHRSST CF-NetCDF</x:v>
      </x:c>
      <x:c r="L25" s="15" t="str">
        <x:v>High, standardized pixel-level QC + uncertainty</x:v>
      </x:c>
      <x:c r="M25" s="15" t="str">
        <x:v>Open NASA/producer terms; Earthdata login often required</x:v>
      </x:c>
      <x:c r="N25" s="15" t="str">
        <x:v>Very High</x:v>
      </x:c>
      <x:c r="O25" s="15" t="str">
        <x:v>Very High</x:v>
      </x:c>
      <x:c r="P25" s="15" t="str">
        <x:v>P0</x:v>
      </x:c>
      <x:c r="Q25" s="15" t="str">
        <x:v>Preferred satellite SST level for assimilation because it preserves observation-level uncertainty/QC.</x:v>
      </x:c>
      <x:c r="R25" s="15" t="str">
        <x:v>https://ghrsst.org/ghrsst-data-services/for-sst-data-users/products/</x:v>
      </x:c>
    </x:row>
    <x:row r="26">
      <x:c r="A26" s="15" t="n">
        <x:v>25</x:v>
      </x:c>
      <x:c r="B26" s="15" t="str">
        <x:v>Satellite/product</x:v>
      </x:c>
      <x:c r="C26" s="15" t="str">
        <x:v>SST</x:v>
      </x:c>
      <x:c r="D26" s="15" t="str">
        <x:v>GHRSST L4 analyses</x:v>
      </x:c>
      <x:c r="E26" s="15" t="str">
        <x:v>Multi-sensor + in-situ gridded SST analyses</x:v>
      </x:c>
      <x:c r="F26" s="15" t="str">
        <x:v>Gap-filled SST + uncertainty</x:v>
      </x:c>
      <x:c r="G26" s="15" t="str">
        <x:v>Global</x:v>
      </x:c>
      <x:c r="H26" s="15" t="str">
        <x:v>Commonly daily; grid resolution product-dependent</x:v>
      </x:c>
      <x:c r="I26" s="15" t="str">
        <x:v>NRT to delayed/reanalysis depending product</x:v>
      </x:c>
      <x:c r="J26" s="15" t="str">
        <x:v>GHRSST GDAC/LTSRF, PO.DAAC/NCEI</x:v>
      </x:c>
      <x:c r="K26" s="15" t="str">
        <x:v>GHRSST CF-NetCDF</x:v>
      </x:c>
      <x:c r="L26" s="15" t="str">
        <x:v>High; analysis-level QC</x:v>
      </x:c>
      <x:c r="M26" s="15" t="str">
        <x:v>Open/producer-specific</x:v>
      </x:c>
      <x:c r="N26" s="15" t="str">
        <x:v>Medium</x:v>
      </x:c>
      <x:c r="O26" s="15" t="str">
        <x:v>Very High</x:v>
      </x:c>
      <x:c r="P26" s="15" t="str">
        <x:v>P0</x:v>
      </x:c>
      <x:c r="Q26" s="15" t="str">
        <x:v>Excellent ML target/background and initialization dataset; not independent raw observations.</x:v>
      </x:c>
      <x:c r="R26" s="15" t="str">
        <x:v>https://ghrsst.org/ghrsst-data-services/for-sst-data-users/services/</x:v>
      </x:c>
    </x:row>
    <x:row r="27">
      <x:c r="A27" s="15" t="n">
        <x:v>26</x:v>
      </x:c>
      <x:c r="B27" s="15" t="str">
        <x:v>Satellite/product</x:v>
      </x:c>
      <x:c r="C27" s="15" t="str">
        <x:v>Altimetry/waves</x:v>
      </x:c>
      <x:c r="D27" s="15" t="str">
        <x:v>NOAA CoastWatch multi-altimeter NRT grids</x:v>
      </x:c>
      <x:c r="E27" s="15" t="str">
        <x:v>Multi-mission radar altimeters</x:v>
      </x:c>
      <x:c r="F27" s="15" t="str">
        <x:v>Sea level anomaly, geostrophic currents, significant wave height, wind speed</x:v>
      </x:c>
      <x:c r="G27" s="15" t="str">
        <x:v>Global ocean</x:v>
      </x:c>
      <x:c r="H27" s="15" t="str">
        <x:v>Daily ~0.25° gridded products</x:v>
      </x:c>
      <x:c r="I27" s="15" t="str">
        <x:v>Typical NRT ~3–5 h for listed multi-altimeter products</x:v>
      </x:c>
      <x:c r="J27" s="15" t="str">
        <x:v>NOAA CoastWatch ERDDAP/OPeNDAP/download services</x:v>
      </x:c>
      <x:c r="K27" s="15" t="str">
        <x:v>NetCDF</x:v>
      </x:c>
      <x:c r="L27" s="15" t="str">
        <x:v>Operational product QC</x:v>
      </x:c>
      <x:c r="M27" s="15" t="str">
        <x:v>NOAA open/public-access products</x:v>
      </x:c>
      <x:c r="N27" s="15" t="str">
        <x:v>High</x:v>
      </x:c>
      <x:c r="O27" s="15" t="str">
        <x:v>High</x:v>
      </x:c>
      <x:c r="P27" s="15" t="str">
        <x:v>P0</x:v>
      </x:c>
      <x:c r="Q27" s="15" t="str">
        <x:v>Convenient low-latency consolidated SSH/SWH/wind feed; gridded analysis rather than raw along-track.</x:v>
      </x:c>
      <x:c r="R27" s="15" t="str">
        <x:v>https://coastwatch.noaa.gov/cwn/product-spatial-coverages/global.html</x:v>
      </x:c>
    </x:row>
    <x:row r="28">
      <x:c r="A28" s="15" t="n">
        <x:v>27</x:v>
      </x:c>
      <x:c r="B28" s="15" t="str">
        <x:v>Satellite/product</x:v>
      </x:c>
      <x:c r="C28" s="15" t="str">
        <x:v>SST</x:v>
      </x:c>
      <x:c r="D28" s="15" t="str">
        <x:v>VIIRS SST</x:v>
      </x:c>
      <x:c r="E28" s="15" t="str">
        <x:v>Polar-orbiting infrared radiometers (SNPP/NOAA-20/21)</x:v>
      </x:c>
      <x:c r="F28" s="15" t="str">
        <x:v>SST, quality/uncertainty</x:v>
      </x:c>
      <x:c r="G28" s="15" t="str">
        <x:v>Global ice-free ocean, cloud-limited</x:v>
      </x:c>
      <x:c r="H28" s="15" t="str">
        <x:v>~750 m–1 km native; multiple overpasses/day across constellation</x:v>
      </x:c>
      <x:c r="I28" s="15" t="str">
        <x:v>Hours for NRT products</x:v>
      </x:c>
      <x:c r="J28" s="15" t="str">
        <x:v>NOAA CoastWatch / GHRSST / NASA data centers</x:v>
      </x:c>
      <x:c r="K28" s="15" t="str">
        <x:v>NetCDF/HDF5 depending product</x:v>
      </x:c>
      <x:c r="L28" s="15" t="str">
        <x:v>High for operational products</x:v>
      </x:c>
      <x:c r="M28" s="15" t="str">
        <x:v>Open; source-specific attribution</x:v>
      </x:c>
      <x:c r="N28" s="15" t="str">
        <x:v>High</x:v>
      </x:c>
      <x:c r="O28" s="15" t="str">
        <x:v>High</x:v>
      </x:c>
      <x:c r="P28" s="15" t="str">
        <x:v>P0</x:v>
      </x:c>
      <x:c r="Q28" s="15" t="str">
        <x:v>High-resolution SST; combine with geostationary and microwave SST for cloud mitigation.</x:v>
      </x:c>
      <x:c r="R28" s="15" t="str">
        <x:v>https://coastwatch.noaa.gov/cwn/product-families/sea-surface-temperature.html</x:v>
      </x:c>
    </x:row>
    <x:row r="29">
      <x:c r="A29" s="15" t="n">
        <x:v>28</x:v>
      </x:c>
      <x:c r="B29" s="15" t="str">
        <x:v>Satellite/product</x:v>
      </x:c>
      <x:c r="C29" s="15" t="str">
        <x:v>SST</x:v>
      </x:c>
      <x:c r="D29" s="15" t="str">
        <x:v>Sentinel-3 SLSTR SST</x:v>
      </x:c>
      <x:c r="E29" s="15" t="str">
        <x:v>Infrared radiometer</x:v>
      </x:c>
      <x:c r="F29" s="15" t="str">
        <x:v>SST and thermal channels</x:v>
      </x:c>
      <x:c r="G29" s="15" t="str">
        <x:v>Near-global</x:v>
      </x:c>
      <x:c r="H29" s="15" t="str">
        <x:v>~1 km; repeat days, multi-satellite constellation</x:v>
      </x:c>
      <x:c r="I29" s="15" t="str">
        <x:v>Hours-to-day depending service/product</x:v>
      </x:c>
      <x:c r="J29" s="15" t="str">
        <x:v>Copernicus Data Space / EUMETSAT / GHRSST</x:v>
      </x:c>
      <x:c r="K29" s="15" t="str">
        <x:v>NetCDF/Sentinel SAFE</x:v>
      </x:c>
      <x:c r="L29" s="15" t="str">
        <x:v>High</x:v>
      </x:c>
      <x:c r="M29" s="15" t="str">
        <x:v>Copernicus open-data terms</x:v>
      </x:c>
      <x:c r="N29" s="15" t="str">
        <x:v>High</x:v>
      </x:c>
      <x:c r="O29" s="15" t="str">
        <x:v>High</x:v>
      </x:c>
      <x:c r="P29" s="15" t="str">
        <x:v>P0</x:v>
      </x:c>
      <x:c r="Q29" s="15" t="str">
        <x:v>Operational high-quality infrared SST source with strong European processing ecosystem.</x:v>
      </x:c>
      <x:c r="R29" s="15" t="str">
        <x:v>https://dataspace.copernicus.eu/</x:v>
      </x:c>
    </x:row>
    <x:row r="30">
      <x:c r="A30" s="15" t="n">
        <x:v>29</x:v>
      </x:c>
      <x:c r="B30" s="15" t="str">
        <x:v>Satellite/product</x:v>
      </x:c>
      <x:c r="C30" s="15" t="str">
        <x:v>Salinity</x:v>
      </x:c>
      <x:c r="D30" s="15" t="str">
        <x:v>SMAP Sea Surface Salinity</x:v>
      </x:c>
      <x:c r="E30" s="15" t="str">
        <x:v>L-band microwave radiometer</x:v>
      </x:c>
      <x:c r="F30" s="15" t="str">
        <x:v>Sea surface salinity; ancillary SST/wind/ice flags by product</x:v>
      </x:c>
      <x:c r="G30" s="15" t="str">
        <x:v>Global ice-free ocean</x:v>
      </x:c>
      <x:c r="H30" s="15" t="str">
        <x:v>Typical gridded products ~25–70 km; multi-day composites common</x:v>
      </x:c>
      <x:c r="I30" s="15" t="str">
        <x:v>Days for science/operational products; product-dependent</x:v>
      </x:c>
      <x:c r="J30" s="15" t="str">
        <x:v>NASA PO.DAAC / Earthdata</x:v>
      </x:c>
      <x:c r="K30" s="15" t="str">
        <x:v>NetCDF/HDF5</x:v>
      </x:c>
      <x:c r="L30" s="15" t="str">
        <x:v>High; retrieval QC flags and uncertainty</x:v>
      </x:c>
      <x:c r="M30" s="15" t="str">
        <x:v>NASA open-data access; Earthdata login</x:v>
      </x:c>
      <x:c r="N30" s="15" t="str">
        <x:v>Medium</x:v>
      </x:c>
      <x:c r="O30" s="15" t="str">
        <x:v>High</x:v>
      </x:c>
      <x:c r="P30" s="15" t="str">
        <x:v>P1</x:v>
      </x:c>
      <x:c r="Q30" s="15" t="str">
        <x:v>Best global satellite salinity source; coarse resolution and land/ice/rain contamination matter.</x:v>
      </x:c>
      <x:c r="R30" s="15" t="str">
        <x:v>https://podaac.jpl.nasa.gov/</x:v>
      </x:c>
    </x:row>
    <x:row r="31">
      <x:c r="A31" s="15" t="n">
        <x:v>30</x:v>
      </x:c>
      <x:c r="B31" s="15" t="str">
        <x:v>Satellite/product</x:v>
      </x:c>
      <x:c r="C31" s="15" t="str">
        <x:v>Salinity</x:v>
      </x:c>
      <x:c r="D31" s="15" t="str">
        <x:v>SMOS Sea Surface Salinity</x:v>
      </x:c>
      <x:c r="E31" s="15" t="str">
        <x:v>L-band microwave radiometer</x:v>
      </x:c>
      <x:c r="F31" s="15" t="str">
        <x:v>Sea surface salinity</x:v>
      </x:c>
      <x:c r="G31" s="15" t="str">
        <x:v>Global ice-free ocean</x:v>
      </x:c>
      <x:c r="H31" s="15" t="str">
        <x:v>Tens of km; multi-day composites common</x:v>
      </x:c>
      <x:c r="I31" s="15" t="str">
        <x:v>Near-real-time/science products depending center</x:v>
      </x:c>
      <x:c r="J31" s="15" t="str">
        <x:v>ESA/EUMETSAT/Copernicus Marine</x:v>
      </x:c>
      <x:c r="K31" s="15" t="str">
        <x:v>NetCDF/HDF5</x:v>
      </x:c>
      <x:c r="L31" s="15" t="str">
        <x:v>High, product-specific</x:v>
      </x:c>
      <x:c r="M31" s="15" t="str">
        <x:v>Copernicus/ESA terms</x:v>
      </x:c>
      <x:c r="N31" s="15" t="str">
        <x:v>Medium</x:v>
      </x:c>
      <x:c r="O31" s="15" t="str">
        <x:v>High</x:v>
      </x:c>
      <x:c r="P31" s="15" t="str">
        <x:v>P1</x:v>
      </x:c>
      <x:c r="Q31" s="15" t="str">
        <x:v>Independent SSS retrieval useful for cross-calibration with SMAP and in situ salinity.</x:v>
      </x:c>
      <x:c r="R31" s="15" t="str">
        <x:v>https://earth.esa.int/eogateway/missions/smos</x:v>
      </x:c>
    </x:row>
    <x:row r="32">
      <x:c r="A32" s="15" t="n">
        <x:v>31</x:v>
      </x:c>
      <x:c r="B32" s="15" t="str">
        <x:v>Satellite/product</x:v>
      </x:c>
      <x:c r="C32" s="15" t="str">
        <x:v>Ocean winds</x:v>
      </x:c>
      <x:c r="D32" s="15" t="str">
        <x:v>ASCAT Ocean Surface Vector Winds</x:v>
      </x:c>
      <x:c r="E32" s="15" t="str">
        <x:v>C-band scatterometers on Metop</x:v>
      </x:c>
      <x:c r="F32" s="15" t="str">
        <x:v>10-m equivalent ocean wind speed/direction; quality flags</x:v>
      </x:c>
      <x:c r="G32" s="15" t="str">
        <x:v>Global ice-free ocean</x:v>
      </x:c>
      <x:c r="H32" s="15" t="str">
        <x:v>~12.5–25 km typical; multiple passes/day with constellation</x:v>
      </x:c>
      <x:c r="I32" s="15" t="str">
        <x:v>NRT, typically hours</x:v>
      </x:c>
      <x:c r="J32" s="15" t="str">
        <x:v>EUMETSAT/OSI SAF / NOAA CoastWatch / Copernicus</x:v>
      </x:c>
      <x:c r="K32" s="15" t="str">
        <x:v>NetCDF/BUFR depending feed</x:v>
      </x:c>
      <x:c r="L32" s="15" t="str">
        <x:v>High operational QC</x:v>
      </x:c>
      <x:c r="M32" s="15" t="str">
        <x:v>Open under provider terms</x:v>
      </x:c>
      <x:c r="N32" s="15" t="str">
        <x:v>Very High</x:v>
      </x:c>
      <x:c r="O32" s="15" t="str">
        <x:v>High</x:v>
      </x:c>
      <x:c r="P32" s="15" t="str">
        <x:v>P0</x:v>
      </x:c>
      <x:c r="Q32" s="15" t="str">
        <x:v>Core all-weather surface wind observation for marine NWP and wave/ocean forcing.</x:v>
      </x:c>
      <x:c r="R32" s="15" t="str">
        <x:v>https://osi-saf.eumetsat.int/</x:v>
      </x:c>
    </x:row>
    <x:row r="33">
      <x:c r="A33" s="15" t="n">
        <x:v>32</x:v>
      </x:c>
      <x:c r="B33" s="15" t="str">
        <x:v>Satellite/product</x:v>
      </x:c>
      <x:c r="C33" s="15" t="str">
        <x:v>Altimetry</x:v>
      </x:c>
      <x:c r="D33" s="15" t="str">
        <x:v>Conventional multi-mission radar altimetry</x:v>
      </x:c>
      <x:c r="E33" s="15" t="str">
        <x:v>Sentinel-6, Jason-3, Sentinel-3, SARAL/AltiKa and others</x:v>
      </x:c>
      <x:c r="F33" s="15" t="str">
        <x:v>SSH/SLA, significant wave height, radar wind speed</x:v>
      </x:c>
      <x:c r="G33" s="15" t="str">
        <x:v>Global along-track ocean</x:v>
      </x:c>
      <x:c r="H33" s="15" t="str">
        <x:v>Along-track; repeat cycles ~10–35 days depending mission</x:v>
      </x:c>
      <x:c r="I33" s="15" t="str">
        <x:v>NRT hours-to-days; precise products delayed</x:v>
      </x:c>
      <x:c r="J33" s="15" t="str">
        <x:v>Copernicus Marine / EUMETSAT / PO.DAAC / AVISO</x:v>
      </x:c>
      <x:c r="K33" s="15" t="str">
        <x:v>NetCDF</x:v>
      </x:c>
      <x:c r="L33" s="15" t="str">
        <x:v>High; separate NRT and precise orbit/reprocessed products</x:v>
      </x:c>
      <x:c r="M33" s="15" t="str">
        <x:v>Open with provider attribution</x:v>
      </x:c>
      <x:c r="N33" s="15" t="str">
        <x:v>Very High</x:v>
      </x:c>
      <x:c r="O33" s="15" t="str">
        <x:v>Very High</x:v>
      </x:c>
      <x:c r="P33" s="15" t="str">
        <x:v>P0</x:v>
      </x:c>
      <x:c r="Q33" s="15" t="str">
        <x:v>Core SSH and wave observing backbone; use along-track observations for DA and gridded products for ML.</x:v>
      </x:c>
      <x:c r="R33" s="15" t="str">
        <x:v>https://podaac.jpl.nasa.gov/Altimetric_Data_Information</x:v>
      </x:c>
    </x:row>
    <x:row r="34">
      <x:c r="A34" s="15" t="n">
        <x:v>33</x:v>
      </x:c>
      <x:c r="B34" s="15" t="str">
        <x:v>Satellite/product</x:v>
      </x:c>
      <x:c r="C34" s="15" t="str">
        <x:v>Altimetry</x:v>
      </x:c>
      <x:c r="D34" s="15" t="str">
        <x:v>SWOT</x:v>
      </x:c>
      <x:c r="E34" s="15" t="str">
        <x:v>Ka-band Radar Interferometer + nadir altimeter</x:v>
      </x:c>
      <x:c r="F34" s="15" t="str">
        <x:v>2-D sea-surface height, significant wave height and related ocean topography fields</x:v>
      </x:c>
      <x:c r="G34" s="15" t="str">
        <x:v>Global ocean swaths</x:v>
      </x:c>
      <x:c r="H34" s="15" t="str">
        <x:v>Kilometer-scale 2-D swaths; 21-day science repeat orbit</x:v>
      </x:c>
      <x:c r="I34" s="15" t="str">
        <x:v>Science-product latency, generally not as low as operational nadir-altimeter streams</x:v>
      </x:c>
      <x:c r="J34" s="15" t="str">
        <x:v>NASA PO.DAAC / Earthdata Cloud</x:v>
      </x:c>
      <x:c r="K34" s="15" t="str">
        <x:v>NetCDF</x:v>
      </x:c>
      <x:c r="L34" s="15" t="str">
        <x:v>High science QC; version-specific filters required</x:v>
      </x:c>
      <x:c r="M34" s="15" t="str">
        <x:v>NASA open data; Earthdata login</x:v>
      </x:c>
      <x:c r="N34" s="15" t="str">
        <x:v>Medium</x:v>
      </x:c>
      <x:c r="O34" s="15" t="str">
        <x:v>Very High</x:v>
      </x:c>
      <x:c r="P34" s="15" t="str">
        <x:v>P1</x:v>
      </x:c>
      <x:c r="Q34" s="15" t="str">
        <x:v>Unique mesoscale/submesoscale SSH structure; very high ML value despite lower operational cadence.</x:v>
      </x:c>
      <x:c r="R34" s="15" t="str">
        <x:v>https://podaac.jpl.nasa.gov/dataset/SWOT_L2_LR_SSH_WindWave_D</x:v>
      </x:c>
    </x:row>
    <x:row r="35">
      <x:c r="A35" s="15" t="n">
        <x:v>34</x:v>
      </x:c>
      <x:c r="B35" s="15" t="str">
        <x:v>Satellite/product</x:v>
      </x:c>
      <x:c r="C35" s="15" t="str">
        <x:v>SAR ocean</x:v>
      </x:c>
      <x:c r="D35" s="15" t="str">
        <x:v>Sentinel-1 SAR</x:v>
      </x:c>
      <x:c r="E35" s="15" t="str">
        <x:v>C-band synthetic aperture radar</x:v>
      </x:c>
      <x:c r="F35" s="15" t="str">
        <x:v>Sea-ice structure, wave spectra, surface roughness/winds, oil slicks, fronts, internal waves, ships</x:v>
      </x:c>
      <x:c r="G35" s="15" t="str">
        <x:v>Global targeted imaging; strong coastal/polar coverage</x:v>
      </x:c>
      <x:c r="H35" s="15" t="str">
        <x:v>10s m native imagery; acquisition-plan dependent</x:v>
      </x:c>
      <x:c r="I35" s="15" t="str">
        <x:v>Hours-to-day</x:v>
      </x:c>
      <x:c r="J35" s="15" t="str">
        <x:v>Copernicus Data Space / derived providers</x:v>
      </x:c>
      <x:c r="K35" s="15" t="str">
        <x:v>SAFE/GeoTIFF/NetCDF for derived products</x:v>
      </x:c>
      <x:c r="L35" s="15" t="str">
        <x:v>Level/product dependent; raw SAR interpretation complex</x:v>
      </x:c>
      <x:c r="M35" s="15" t="str">
        <x:v>Copernicus open-data terms</x:v>
      </x:c>
      <x:c r="N35" s="15" t="str">
        <x:v>Medium</x:v>
      </x:c>
      <x:c r="O35" s="15" t="str">
        <x:v>High</x:v>
      </x:c>
      <x:c r="P35" s="15" t="str">
        <x:v>P1</x:v>
      </x:c>
      <x:c r="Q35" s="15" t="str">
        <x:v>Rich high-resolution observation stream; needs specialized retrievals for quantitative DA.</x:v>
      </x:c>
      <x:c r="R35" s="15" t="str">
        <x:v>https://dataspace.copernicus.eu/</x:v>
      </x:c>
    </x:row>
    <x:row r="36">
      <x:c r="A36" s="15" t="n">
        <x:v>35</x:v>
      </x:c>
      <x:c r="B36" s="15" t="str">
        <x:v>Satellite/product</x:v>
      </x:c>
      <x:c r="C36" s="15" t="str">
        <x:v>Sea ice</x:v>
      </x:c>
      <x:c r="D36" s="15" t="str">
        <x:v>Passive-microwave sea ice (AMSR2/SSMIS etc.)</x:v>
      </x:c>
      <x:c r="E36" s="15" t="str">
        <x:v>Microwave radiometers</x:v>
      </x:c>
      <x:c r="F36" s="15" t="str">
        <x:v>Sea-ice concentration, extent; derived motion/type in some products</x:v>
      </x:c>
      <x:c r="G36" s="15" t="str">
        <x:v>Global polar oceans</x:v>
      </x:c>
      <x:c r="H36" s="15" t="str">
        <x:v>Typical 6–25 km; daily/global coverage</x:v>
      </x:c>
      <x:c r="I36" s="15" t="str">
        <x:v>Hours-to-day</x:v>
      </x:c>
      <x:c r="J36" s="15" t="str">
        <x:v>OSI SAF / NSIDC / Copernicus Marine</x:v>
      </x:c>
      <x:c r="K36" s="15" t="str">
        <x:v>NetCDF/HDF</x:v>
      </x:c>
      <x:c r="L36" s="15" t="str">
        <x:v>High operational climate-grade products</x:v>
      </x:c>
      <x:c r="M36" s="15" t="str">
        <x:v>Generally open with attribution</x:v>
      </x:c>
      <x:c r="N36" s="15" t="str">
        <x:v>Very High</x:v>
      </x:c>
      <x:c r="O36" s="15" t="str">
        <x:v>Very High</x:v>
      </x:c>
      <x:c r="P36" s="15" t="str">
        <x:v>P0</x:v>
      </x:c>
      <x:c r="Q36" s="15" t="str">
        <x:v>Operational sea-ice backbone because of all-weather/day-night sampling.</x:v>
      </x:c>
      <x:c r="R36" s="15" t="str">
        <x:v>https://osi-saf.eumetsat.int/</x:v>
      </x:c>
    </x:row>
    <x:row r="37">
      <x:c r="A37" s="15" t="n">
        <x:v>36</x:v>
      </x:c>
      <x:c r="B37" s="15" t="str">
        <x:v>Satellite/product</x:v>
      </x:c>
      <x:c r="C37" s="15" t="str">
        <x:v>Sea ice</x:v>
      </x:c>
      <x:c r="D37" s="15" t="str">
        <x:v>CryoSat-2</x:v>
      </x:c>
      <x:c r="E37" s="15" t="str">
        <x:v>Radar altimeter</x:v>
      </x:c>
      <x:c r="F37" s="15" t="str">
        <x:v>Sea-ice freeboard/thickness-related metrics; ocean SSH in specialized products</x:v>
      </x:c>
      <x:c r="G37" s="15" t="str">
        <x:v>Polar oceans</x:v>
      </x:c>
      <x:c r="H37" s="15" t="str">
        <x:v>Along-track; repeat cycle</x:v>
      </x:c>
      <x:c r="I37" s="15" t="str">
        <x:v>Days to delayed science products</x:v>
      </x:c>
      <x:c r="J37" s="15" t="str">
        <x:v>ESA CryoSat data / Copernicus derived products</x:v>
      </x:c>
      <x:c r="K37" s="15" t="str">
        <x:v>NetCDF/Earth Explorer formats</x:v>
      </x:c>
      <x:c r="L37" s="15" t="str">
        <x:v>High science QC</x:v>
      </x:c>
      <x:c r="M37" s="15" t="str">
        <x:v>ESA open-data terms</x:v>
      </x:c>
      <x:c r="N37" s="15" t="str">
        <x:v>Low</x:v>
      </x:c>
      <x:c r="O37" s="15" t="str">
        <x:v>High</x:v>
      </x:c>
      <x:c r="P37" s="15" t="str">
        <x:v>P1</x:v>
      </x:c>
      <x:c r="Q37" s="15" t="str">
        <x:v>Important thickness/freeboard constraint; not a primary low-latency operational feed.</x:v>
      </x:c>
      <x:c r="R37" s="15" t="str">
        <x:v>https://earth.esa.int/eogateway/missions/cryosat</x:v>
      </x:c>
    </x:row>
    <x:row r="38">
      <x:c r="A38" s="15" t="n">
        <x:v>37</x:v>
      </x:c>
      <x:c r="B38" s="15" t="str">
        <x:v>Satellite/product</x:v>
      </x:c>
      <x:c r="C38" s="15" t="str">
        <x:v>Ocean mass</x:v>
      </x:c>
      <x:c r="D38" s="15" t="str">
        <x:v>GRACE-FO</x:v>
      </x:c>
      <x:c r="E38" s="15" t="str">
        <x:v>Satellite gravimetry</x:v>
      </x:c>
      <x:c r="F38" s="15" t="str">
        <x:v>Ocean mass change / bottom-pressure-equivalent signals at broad scales</x:v>
      </x:c>
      <x:c r="G38" s="15" t="str">
        <x:v>Global</x:v>
      </x:c>
      <x:c r="H38" s="15" t="str">
        <x:v>Monthly solutions typical</x:v>
      </x:c>
      <x:c r="I38" s="15" t="str">
        <x:v>Weeks to months</x:v>
      </x:c>
      <x:c r="J38" s="15" t="str">
        <x:v>NASA/GRACE data centers</x:v>
      </x:c>
      <x:c r="K38" s="15" t="str">
        <x:v>NetCDF/text spherical harmonics</x:v>
      </x:c>
      <x:c r="L38" s="15" t="str">
        <x:v>High geodetic QC</x:v>
      </x:c>
      <x:c r="M38" s="15" t="str">
        <x:v>Open with citation</x:v>
      </x:c>
      <x:c r="N38" s="15" t="str">
        <x:v>Low</x:v>
      </x:c>
      <x:c r="O38" s="15" t="str">
        <x:v>High</x:v>
      </x:c>
      <x:c r="P38" s="15" t="str">
        <x:v>P2</x:v>
      </x:c>
      <x:c r="Q38" s="15" t="str">
        <x:v>Useful for climate-scale ocean mass/state estimation rather than operational forecasting.</x:v>
      </x:c>
      <x:c r="R38" s="15" t="str">
        <x:v>https://grace.jpl.nasa.gov/data/get-data/</x:v>
      </x:c>
    </x:row>
    <x:row r="39">
      <x:c r="A39" s="15" t="n">
        <x:v>38</x:v>
      </x:c>
      <x:c r="B39" s="15" t="str">
        <x:v>Satellite/product</x:v>
      </x:c>
      <x:c r="C39" s="15" t="str">
        <x:v>Ocean winds</x:v>
      </x:c>
      <x:c r="D39" s="15" t="str">
        <x:v>CYGNSS</x:v>
      </x:c>
      <x:c r="E39" s="15" t="str">
        <x:v>GNSS reflectometry constellation</x:v>
      </x:c>
      <x:c r="F39" s="15" t="str">
        <x:v>Ocean surface wind speed/roughness, including high-wind regimes in specialized retrievals</x:v>
      </x:c>
      <x:c r="G39" s="15" t="str">
        <x:v>Tropics/subtropics approximately ±38° latitude</x:v>
      </x:c>
      <x:c r="H39" s="15" t="str">
        <x:v>Frequent revisits from constellation; ~tens-km products</x:v>
      </x:c>
      <x:c r="I39" s="15" t="str">
        <x:v>Hours-to-days depending product</x:v>
      </x:c>
      <x:c r="J39" s="15" t="str">
        <x:v>NASA PO.DAAC / Earthdata</x:v>
      </x:c>
      <x:c r="K39" s="15" t="str">
        <x:v>NetCDF</x:v>
      </x:c>
      <x:c r="L39" s="15" t="str">
        <x:v>Science/operational-product dependent</x:v>
      </x:c>
      <x:c r="M39" s="15" t="str">
        <x:v>NASA open-data access</x:v>
      </x:c>
      <x:c r="N39" s="15" t="str">
        <x:v>Medium</x:v>
      </x:c>
      <x:c r="O39" s="15" t="str">
        <x:v>High</x:v>
      </x:c>
      <x:c r="P39" s="15" t="str">
        <x:v>P1</x:v>
      </x:c>
      <x:c r="Q39" s="15" t="str">
        <x:v>Complements scatterometers in tropical cyclone/high-wind environments; not truly global latitude coverage.</x:v>
      </x:c>
      <x:c r="R39" s="15" t="str">
        <x:v>https://podaac.jpl.nasa.gov/CYGNSS</x:v>
      </x:c>
    </x:row>
    <x:row r="40">
      <x:c r="A40" s="15" t="n">
        <x:v>39</x:v>
      </x:c>
      <x:c r="B40" s="15" t="str">
        <x:v>Satellite/product</x:v>
      </x:c>
      <x:c r="C40" s="15" t="str">
        <x:v>Ocean color</x:v>
      </x:c>
      <x:c r="D40" s="15" t="str">
        <x:v>VIIRS Ocean Color</x:v>
      </x:c>
      <x:c r="E40" s="15" t="str">
        <x:v>Visible/near-IR radiometers</x:v>
      </x:c>
      <x:c r="F40" s="15" t="str">
        <x:v>Chlorophyll-a, Rrs, diffuse attenuation, suspended matter and derived ecology products</x:v>
      </x:c>
      <x:c r="G40" s="15" t="str">
        <x:v>Global open ocean/coasts, cloud-limited</x:v>
      </x:c>
      <x:c r="H40" s="15" t="str">
        <x:v>~750 m–1 km; daily nominal</x:v>
      </x:c>
      <x:c r="I40" s="15" t="str">
        <x:v>Hours-to-day</x:v>
      </x:c>
      <x:c r="J40" s="15" t="str">
        <x:v>NOAA CoastWatch / NASA OceanColor</x:v>
      </x:c>
      <x:c r="K40" s="15" t="str">
        <x:v>NetCDF/HDF5</x:v>
      </x:c>
      <x:c r="L40" s="15" t="str">
        <x:v>High for standard products; atmospheric correction/QC critical</x:v>
      </x:c>
      <x:c r="M40" s="15" t="str">
        <x:v>Open</x:v>
      </x:c>
      <x:c r="N40" s="15" t="str">
        <x:v>Low</x:v>
      </x:c>
      <x:c r="O40" s="15" t="str">
        <x:v>Very High</x:v>
      </x:c>
      <x:c r="P40" s="15" t="str">
        <x:v>P1</x:v>
      </x:c>
      <x:c r="Q40" s="15" t="str">
        <x:v>Core long-term operational ocean-color stream for BGC/eco ML.</x:v>
      </x:c>
      <x:c r="R40" s="15" t="str">
        <x:v>https://coastwatch.noaa.gov/cwn/product-families/ocean-color.html</x:v>
      </x:c>
    </x:row>
    <x:row r="41">
      <x:c r="A41" s="15" t="n">
        <x:v>40</x:v>
      </x:c>
      <x:c r="B41" s="15" t="str">
        <x:v>Satellite/product</x:v>
      </x:c>
      <x:c r="C41" s="15" t="str">
        <x:v>Ocean color</x:v>
      </x:c>
      <x:c r="D41" s="15" t="str">
        <x:v>Sentinel-3 OLCI</x:v>
      </x:c>
      <x:c r="E41" s="15" t="str">
        <x:v>Ocean and land color imager</x:v>
      </x:c>
      <x:c r="F41" s="15" t="str">
        <x:v>Rrs, chlorophyll, suspended matter, water quality indicators</x:v>
      </x:c>
      <x:c r="G41" s="15" t="str">
        <x:v>Near-global, cloud-limited</x:v>
      </x:c>
      <x:c r="H41" s="15" t="str">
        <x:v>~300 m native; multi-day revisit with constellation</x:v>
      </x:c>
      <x:c r="I41" s="15" t="str">
        <x:v>Hours-to-day</x:v>
      </x:c>
      <x:c r="J41" s="15" t="str">
        <x:v>Copernicus Data Space / EUMETSAT / Copernicus Marine</x:v>
      </x:c>
      <x:c r="K41" s="15" t="str">
        <x:v>NetCDF/Sentinel SAFE</x:v>
      </x:c>
      <x:c r="L41" s="15" t="str">
        <x:v>High; product-dependent</x:v>
      </x:c>
      <x:c r="M41" s="15" t="str">
        <x:v>Copernicus open-data terms</x:v>
      </x:c>
      <x:c r="N41" s="15" t="str">
        <x:v>Low</x:v>
      </x:c>
      <x:c r="O41" s="15" t="str">
        <x:v>Very High</x:v>
      </x:c>
      <x:c r="P41" s="15" t="str">
        <x:v>P1</x:v>
      </x:c>
      <x:c r="Q41" s="15" t="str">
        <x:v>Higher spatial resolution than many global ocean-color products; strong coastal utility.</x:v>
      </x:c>
      <x:c r="R41" s="15" t="str">
        <x:v>https://dataspace.copernicus.eu/</x:v>
      </x:c>
    </x:row>
    <x:row r="42">
      <x:c r="A42" s="15" t="n">
        <x:v>41</x:v>
      </x:c>
      <x:c r="B42" s="15" t="str">
        <x:v>Satellite/product</x:v>
      </x:c>
      <x:c r="C42" s="15" t="str">
        <x:v>Ocean color</x:v>
      </x:c>
      <x:c r="D42" s="15" t="str">
        <x:v>PACE</x:v>
      </x:c>
      <x:c r="E42" s="15" t="str">
        <x:v>OCI hyperspectral + polarimeters</x:v>
      </x:c>
      <x:c r="F42" s="15" t="str">
        <x:v>Hyperspectral ocean color, phytoplankton properties, aerosols/cloud context</x:v>
      </x:c>
      <x:c r="G42" s="15" t="str">
        <x:v>Global, cloud-limited</x:v>
      </x:c>
      <x:c r="H42" s="15" t="str">
        <x:v>~1 km-class global products; frequent revisits</x:v>
      </x:c>
      <x:c r="I42" s="15" t="str">
        <x:v>Science-product latency</x:v>
      </x:c>
      <x:c r="J42" s="15" t="str">
        <x:v>NASA Earthdata / Ocean Biology DAAC</x:v>
      </x:c>
      <x:c r="K42" s="15" t="str">
        <x:v>NetCDF/HDF5</x:v>
      </x:c>
      <x:c r="L42" s="15" t="str">
        <x:v>High science QC</x:v>
      </x:c>
      <x:c r="M42" s="15" t="str">
        <x:v>NASA open data; Earthdata access</x:v>
      </x:c>
      <x:c r="N42" s="15" t="str">
        <x:v>Low</x:v>
      </x:c>
      <x:c r="O42" s="15" t="str">
        <x:v>Very High</x:v>
      </x:c>
      <x:c r="P42" s="15" t="str">
        <x:v>P1</x:v>
      </x:c>
      <x:c r="Q42" s="15" t="str">
        <x:v>Best new hyperspectral global ocean-color stream for ecosystem/BGC ML.</x:v>
      </x:c>
      <x:c r="R42" s="15" t="str">
        <x:v>https://pace.oceansciences.org/data.htm</x:v>
      </x:c>
    </x:row>
    <x:row r="43">
      <x:c r="A43" s="15" t="n">
        <x:v>42</x:v>
      </x:c>
      <x:c r="B43" s="15" t="str">
        <x:v>BGC synthesis</x:v>
      </x:c>
      <x:c r="C43" s="15" t="str">
        <x:v>Carbon</x:v>
      </x:c>
      <x:c r="D43" s="15" t="str">
        <x:v>SOCAT v2026</x:v>
      </x:c>
      <x:c r="E43" s="15" t="str">
        <x:v>Ships, moorings, autonomous surface platforms, drifters</x:v>
      </x:c>
      <x:c r="F43" s="15" t="str">
        <x:v>Surface-ocean fCO2/pCO2 plus supporting variables/metadata</x:v>
      </x:c>
      <x:c r="G43" s="15" t="str">
        <x:v>Global ocean and coastal seas</x:v>
      </x:c>
      <x:c r="H43" s="15" t="str">
        <x:v>Observation-level; gridded monthly/yearly products also available</x:v>
      </x:c>
      <x:c r="I43" s="15" t="str">
        <x:v>Annual versioned release; not NRT</x:v>
      </x:c>
      <x:c r="J43" s="15" t="str">
        <x:v>ERDDAP, LAS viewers, NCEI files</x:v>
      </x:c>
      <x:c r="K43" s="15" t="str">
        <x:v>Text/CSV/NetCDF/ODV</x:v>
      </x:c>
      <x:c r="L43" s="15" t="str">
        <x:v>Very high community QC; 2nd-level QC synthesis</x:v>
      </x:c>
      <x:c r="M43" s="15" t="str">
        <x:v>Publicly available; data-use statement/citation required</x:v>
      </x:c>
      <x:c r="N43" s="15" t="str">
        <x:v>Low</x:v>
      </x:c>
      <x:c r="O43" s="15" t="str">
        <x:v>Very High</x:v>
      </x:c>
      <x:c r="P43" s="15" t="str">
        <x:v>P1</x:v>
      </x:c>
      <x:c r="Q43" s="15" t="str">
        <x:v>Canonical global surface carbon dataset; v2026 contains observations through 2025.</x:v>
      </x:c>
      <x:c r="R43" s="15" t="str">
        <x:v>https://socat.info/index.php/version-2026/</x:v>
      </x:c>
    </x:row>
    <x:row r="44">
      <x:c r="A44" s="15" t="n">
        <x:v>43</x:v>
      </x:c>
      <x:c r="B44" s="15" t="str">
        <x:v>BGC synthesis</x:v>
      </x:c>
      <x:c r="C44" s="15" t="str">
        <x:v>Carbon/BGC</x:v>
      </x:c>
      <x:c r="D44" s="15" t="str">
        <x:v>GLODAPv3</x:v>
      </x:c>
      <x:c r="E44" s="15" t="str">
        <x:v>Merged bottle/CTD hydrography</x:v>
      </x:c>
      <x:c r="F44" s="15" t="str">
        <x:v>DIC, alkalinity, pH, O2, nutrients, salinity, temperature, tracers, carbon-relevant variables</x:v>
      </x:c>
      <x:c r="G44" s="15" t="str">
        <x:v>Global open ocean</x:v>
      </x:c>
      <x:c r="H44" s="15" t="str">
        <x:v>Cruise/cast based</x:v>
      </x:c>
      <x:c r="I44" s="15" t="str">
        <x:v>Delayed synthesis; versioned updates</x:v>
      </x:c>
      <x:c r="J44" s="15" t="str">
        <x:v>NCEI OCADS / GLODAP downloads</x:v>
      </x:c>
      <x:c r="K44" s="15" t="str">
        <x:v>CSV, MAT, NetCDF</x:v>
      </x:c>
      <x:c r="L44" s="15" t="str">
        <x:v>Very high: crossover/calibration-adjusted synthesis</x:v>
      </x:c>
      <x:c r="M44" s="15" t="str">
        <x:v>Open with data-use statement/citation</x:v>
      </x:c>
      <x:c r="N44" s="15" t="str">
        <x:v>Low</x:v>
      </x:c>
      <x:c r="O44" s="15" t="str">
        <x:v>Very High</x:v>
      </x:c>
      <x:c r="P44" s="15" t="str">
        <x:v>P1</x:v>
      </x:c>
      <x:c r="Q44" s="15" t="str">
        <x:v>Reference global interior-ocean carbon/BGC training and validation source.</x:v>
      </x:c>
      <x:c r="R44" s="15" t="str">
        <x:v>https://glodap.info/index.php/merged-and-adjusted-data-product-v3/</x:v>
      </x:c>
    </x:row>
    <x:row r="45">
      <x:c r="A45" s="15" t="n">
        <x:v>44</x:v>
      </x:c>
      <x:c r="B45" s="15" t="str">
        <x:v>Biodiversity synthesis</x:v>
      </x:c>
      <x:c r="C45" s="15" t="str">
        <x:v>Biodiversity</x:v>
      </x:c>
      <x:c r="D45" s="15" t="str">
        <x:v>OBIS</x:v>
      </x:c>
      <x:c r="E45" s="15" t="str">
        <x:v>Aggregated biological occurrence/event observations</x:v>
      </x:c>
      <x:c r="F45" s="15" t="str">
        <x:v>Species occurrence, abundance/event metadata, measurements and environmental annotations</x:v>
      </x:c>
      <x:c r="G45" s="15" t="str">
        <x:v>Global marine</x:v>
      </x:c>
      <x:c r="H45" s="15" t="str">
        <x:v>Event/occurrence based; heterogeneous temporal resolution</x:v>
      </x:c>
      <x:c r="I45" s="15" t="str">
        <x:v>Archive/near-continuous ingestion, not operational NRT</x:v>
      </x:c>
      <x:c r="J45" s="15" t="str">
        <x:v>API, R package, AWS Open Data GeoParquet, mapper</x:v>
      </x:c>
      <x:c r="K45" s="15" t="str">
        <x:v>JSON, TSV, GeoParquet, Darwin Core</x:v>
      </x:c>
      <x:c r="L45" s="15" t="str">
        <x:v>OBIS QC pipeline + provider QC</x:v>
      </x:c>
      <x:c r="M45" s="15" t="str">
        <x:v>Open; most CC BY 4.0, underlying licenses vary</x:v>
      </x:c>
      <x:c r="N45" s="15" t="str">
        <x:v>Low</x:v>
      </x:c>
      <x:c r="O45" s="15" t="str">
        <x:v>Very High</x:v>
      </x:c>
      <x:c r="P45" s="15" t="str">
        <x:v>P2</x:v>
      </x:c>
      <x:c r="Q45" s="15" t="str">
        <x:v>Primary global marine biodiversity data lake; ideal for ecology/biogeography ML.</x:v>
      </x:c>
      <x:c r="R45" s="15" t="str">
        <x:v>https://portal.obis.org/data/access/</x:v>
      </x:c>
    </x:row>
    <x:row r="46">
      <x:c r="A46" s="15" t="n">
        <x:v>45</x:v>
      </x:c>
      <x:c r="B46" s="15" t="str">
        <x:v>Biodiversity synthesis</x:v>
      </x:c>
      <x:c r="C46" s="15" t="str">
        <x:v>Marine megafauna</x:v>
      </x:c>
      <x:c r="D46" s="15" t="str">
        <x:v>OBIS-SEAMAP</x:v>
      </x:c>
      <x:c r="E46" s="15" t="str">
        <x:v>Visual surveys, telemetry, acoustics and occurrence datasets</x:v>
      </x:c>
      <x:c r="F46" s="15" t="str">
        <x:v>Marine mammals, seabirds, sea turtles and associated effort/occurrence data</x:v>
      </x:c>
      <x:c r="G46" s="15" t="str">
        <x:v>Global, dataset-dependent</x:v>
      </x:c>
      <x:c r="H46" s="15" t="str">
        <x:v>Survey/event based</x:v>
      </x:c>
      <x:c r="I46" s="15" t="str">
        <x:v>Delayed/archive</x:v>
      </x:c>
      <x:c r="J46" s="15" t="str">
        <x:v>OBIS-SEAMAP portal/downloads</x:v>
      </x:c>
      <x:c r="K46" s="15" t="str">
        <x:v>CSV/standard biodiversity formats</x:v>
      </x:c>
      <x:c r="L46" s="15" t="str">
        <x:v>Provider + portal QC</x:v>
      </x:c>
      <x:c r="M46" s="15" t="str">
        <x:v>Dataset-specific open licenses</x:v>
      </x:c>
      <x:c r="N46" s="15" t="str">
        <x:v>Low</x:v>
      </x:c>
      <x:c r="O46" s="15" t="str">
        <x:v>High</x:v>
      </x:c>
      <x:c r="P46" s="15" t="str">
        <x:v>P2</x:v>
      </x:c>
      <x:c r="Q46" s="15" t="str">
        <x:v>Specialized global megafauna source; effort data are important for modeling detection bias.</x:v>
      </x:c>
      <x:c r="R46" s="15" t="str">
        <x:v>https://seamap.env.duke.edu/</x:v>
      </x:c>
    </x:row>
    <x:row r="47">
      <x:c r="A47" s="15" t="n">
        <x:v>46</x:v>
      </x:c>
      <x:c r="B47" s="15" t="str">
        <x:v>Biological network</x:v>
      </x:c>
      <x:c r="C47" s="15" t="str">
        <x:v>Plankton</x:v>
      </x:c>
      <x:c r="D47" s="15" t="str">
        <x:v>Continuous Plankton Recorder (CPR) Survey</x:v>
      </x:c>
      <x:c r="E47" s="15" t="str">
        <x:v>Ships of opportunity towing plankton samplers</x:v>
      </x:c>
      <x:c r="F47" s="15" t="str">
        <x:v>Plankton taxonomy/abundance and ecological indicators</x:v>
      </x:c>
      <x:c r="G47" s="15" t="str">
        <x:v>Long-term multi-basin coverage; strongest North Atlantic/North Sea, expanding globally</x:v>
      </x:c>
      <x:c r="H47" s="15" t="str">
        <x:v>Transect-based; monthly/seasonal repeat lines</x:v>
      </x:c>
      <x:c r="I47" s="15" t="str">
        <x:v>Delayed scientific QC</x:v>
      </x:c>
      <x:c r="J47" s="15" t="str">
        <x:v>Marine Biological Association / CPR Survey data request/portals</x:v>
      </x:c>
      <x:c r="K47" s="15" t="str">
        <x:v>CSV/database exports</x:v>
      </x:c>
      <x:c r="L47" s="15" t="str">
        <x:v>High taxonomic QC</x:v>
      </x:c>
      <x:c r="M47" s="15" t="str">
        <x:v>Research-use/data-request terms may apply</x:v>
      </x:c>
      <x:c r="N47" s="15" t="str">
        <x:v>Low</x:v>
      </x:c>
      <x:c r="O47" s="15" t="str">
        <x:v>High</x:v>
      </x:c>
      <x:c r="P47" s="15" t="str">
        <x:v>P2</x:v>
      </x:c>
      <x:c r="Q47" s="15" t="str">
        <x:v>Outstanding long-term plankton time series but not spatially uniform global coverage.</x:v>
      </x:c>
      <x:c r="R47" s="15" t="str">
        <x:v>https://www.cprsurvey.org/</x:v>
      </x:c>
    </x:row>
    <x:row r="48">
      <x:c r="A48" s="15" t="n">
        <x:v>47</x:v>
      </x:c>
      <x:c r="B48" s="15" t="str">
        <x:v>Bathymetry synthesis</x:v>
      </x:c>
      <x:c r="C48" s="15" t="str">
        <x:v>Bathymetry</x:v>
      </x:c>
      <x:c r="D48" s="15" t="str">
        <x:v>GEBCO / Seabed 2030</x:v>
      </x:c>
      <x:c r="E48" s="15" t="str">
        <x:v>Compiled multibeam/single-beam/satellite-derived bathymetry</x:v>
      </x:c>
      <x:c r="F48" s="15" t="str">
        <x:v>Seafloor elevation/bathymetry; source-type TID grid</x:v>
      </x:c>
      <x:c r="G48" s="15" t="str">
        <x:v>Global ocean + land terrain</x:v>
      </x:c>
      <x:c r="H48" s="15" t="str">
        <x:v>15 arc-second global grid; annual release</x:v>
      </x:c>
      <x:c r="I48" s="15" t="str">
        <x:v>Annual/static product</x:v>
      </x:c>
      <x:c r="J48" s="15" t="str">
        <x:v>Global download, subset app, OPeNDAP</x:v>
      </x:c>
      <x:c r="K48" s="15" t="str">
        <x:v>NetCDF, GeoTIFF, Esri ASCII</x:v>
      </x:c>
      <x:c r="L48" s="15" t="str">
        <x:v>Compilation QC; TID identifies source class</x:v>
      </x:c>
      <x:c r="M48" s="15" t="str">
        <x:v>Free/open under GEBCO terms; attribution requested</x:v>
      </x:c>
      <x:c r="N48" s="15" t="str">
        <x:v>Low</x:v>
      </x:c>
      <x:c r="O48" s="15" t="str">
        <x:v>Very High</x:v>
      </x:c>
      <x:c r="P48" s="15" t="str">
        <x:v>P0</x:v>
      </x:c>
      <x:c r="Q48" s="15" t="str">
        <x:v>Canonical global bathymetric prior for models/ML; 2026 grid includes ~28.7% seafloor mapped to modern standards.</x:v>
      </x:c>
      <x:c r="R48" s="15" t="str">
        <x:v>https://www.gebco.net/data-products/gridded-bathymetry-data</x:v>
      </x:c>
    </x:row>
    <x:row r="49">
      <x:c r="A49" s="15" t="n">
        <x:v>48</x:v>
      </x:c>
      <x:c r="B49" s="15" t="str">
        <x:v>Bathymetry archive</x:v>
      </x:c>
      <x:c r="C49" s="15" t="str">
        <x:v>Bathymetry</x:v>
      </x:c>
      <x:c r="D49" s="15" t="str">
        <x:v>IHO Data Centre for Digital Bathymetry (DCDB)</x:v>
      </x:c>
      <x:c r="E49" s="15" t="str">
        <x:v>Submitted multibeam/single-beam soundings and tracklines</x:v>
      </x:c>
      <x:c r="F49" s="15" t="str">
        <x:v>Depth soundings, bathymetric point/track data and metadata</x:v>
      </x:c>
      <x:c r="G49" s="15" t="str">
        <x:v>Global, contribution-dependent</x:v>
      </x:c>
      <x:c r="H49" s="15" t="str">
        <x:v>Survey/track based</x:v>
      </x:c>
      <x:c r="I49" s="15" t="str">
        <x:v>Archive/delayed</x:v>
      </x:c>
      <x:c r="J49" s="15" t="str">
        <x:v>IHO DCDB / NOAA NCEI services</x:v>
      </x:c>
      <x:c r="K49" s="15" t="str">
        <x:v>XYZ/GeoJSON/NetCDF/other survey formats depending collection</x:v>
      </x:c>
      <x:c r="L49" s="15" t="str">
        <x:v>Source/provider QC + archive metadata</x:v>
      </x:c>
      <x:c r="M49" s="15" t="str">
        <x:v>Access varies by submitted dataset</x:v>
      </x:c>
      <x:c r="N49" s="15" t="str">
        <x:v>Low</x:v>
      </x:c>
      <x:c r="O49" s="15" t="str">
        <x:v>High</x:v>
      </x:c>
      <x:c r="P49" s="15" t="str">
        <x:v>P1</x:v>
      </x:c>
      <x:c r="Q49" s="15" t="str">
        <x:v>Use when raw/near-raw soundings are needed rather than the GEBCO gridded synthesis.</x:v>
      </x:c>
      <x:c r="R49" s="15" t="str">
        <x:v>https://www.ngdc.noaa.gov/iho/</x:v>
      </x:c>
    </x:row>
    <x:row r="50">
      <x:c r="A50" s="15" t="n">
        <x:v>49</x:v>
      </x:c>
      <x:c r="B50" s="15" t="str">
        <x:v>Calibration/validation</x:v>
      </x:c>
      <x:c r="C50" s="15" t="str">
        <x:v>Ocean color in situ</x:v>
      </x:c>
      <x:c r="D50" s="15" t="str">
        <x:v>SeaBASS</x:v>
      </x:c>
      <x:c r="E50" s="15" t="str">
        <x:v>Ships, moorings and field campaigns</x:v>
      </x:c>
      <x:c r="F50" s="15" t="str">
        <x:v>Radiometry, pigments, optics, ocean color validation variables, BGC context</x:v>
      </x:c>
      <x:c r="G50" s="15" t="str">
        <x:v>Global campaigns; uneven spatial coverage</x:v>
      </x:c>
      <x:c r="H50" s="15" t="str">
        <x:v>Campaign/event based</x:v>
      </x:c>
      <x:c r="I50" s="15" t="str">
        <x:v>Delayed scientific archive</x:v>
      </x:c>
      <x:c r="J50" s="15" t="str">
        <x:v>NASA SeaBASS search/download</x:v>
      </x:c>
      <x:c r="K50" s="15" t="str">
        <x:v>ASCII/SeaBASS formats; some NetCDF-like workflows</x:v>
      </x:c>
      <x:c r="L50" s="15" t="str">
        <x:v>High submission/QC standards for validation use</x:v>
      </x:c>
      <x:c r="M50" s="15" t="str">
        <x:v>Open with citation/provider acknowledgment</x:v>
      </x:c>
      <x:c r="N50" s="15" t="str">
        <x:v>Low</x:v>
      </x:c>
      <x:c r="O50" s="15" t="str">
        <x:v>High</x:v>
      </x:c>
      <x:c r="P50" s="15" t="str">
        <x:v>P2</x:v>
      </x:c>
      <x:c r="Q50" s="15" t="str">
        <x:v>Key in-situ validation/training source for ocean-color retrievals.</x:v>
      </x:c>
      <x:c r="R50" s="15" t="str">
        <x:v>https://seabass.gsfc.nasa.gov/</x:v>
      </x:c>
    </x:row>
    <x:row r="51">
      <x:c r="A51" s="15" t="n">
        <x:v>50</x:v>
      </x:c>
      <x:c r="B51" s="15" t="str">
        <x:v>Calibration/validation</x:v>
      </x:c>
      <x:c r="C51" s="15" t="str">
        <x:v>Ocean color in situ</x:v>
      </x:c>
      <x:c r="D51" s="15" t="str">
        <x:v>AERONET-OC</x:v>
      </x:c>
      <x:c r="E51" s="15" t="str">
        <x:v>Coastal/offshore autonomous radiometers</x:v>
      </x:c>
      <x:c r="F51" s="15" t="str">
        <x:v>Water-leaving radiance / remote-sensing reflectance; aerosol/atmospheric context</x:v>
      </x:c>
      <x:c r="G51" s="15" t="str">
        <x:v>Global network of coastal/island/offshore sites</x:v>
      </x:c>
      <x:c r="H51" s="15" t="str">
        <x:v>High-frequency daylight observations</x:v>
      </x:c>
      <x:c r="I51" s="15" t="str">
        <x:v>Near-real-time to quality-assured levels</x:v>
      </x:c>
      <x:c r="J51" s="15" t="str">
        <x:v>NASA AERONET-OC</x:v>
      </x:c>
      <x:c r="K51" s="15" t="str">
        <x:v>Text/CSV</x:v>
      </x:c>
      <x:c r="L51" s="15" t="str">
        <x:v>High, level-based QC</x:v>
      </x:c>
      <x:c r="M51" s="15" t="str">
        <x:v>Open NASA data-use terms</x:v>
      </x:c>
      <x:c r="N51" s="15" t="str">
        <x:v>Low</x:v>
      </x:c>
      <x:c r="O51" s="15" t="str">
        <x:v>High</x:v>
      </x:c>
      <x:c r="P51" s="15" t="str">
        <x:v>P2</x:v>
      </x:c>
      <x:c r="Q51" s="15" t="str">
        <x:v>Important ocean-color calibration/validation network; spatially sparse.</x:v>
      </x:c>
      <x:c r="R51" s="15" t="str">
        <x:v>https://aeronet.gsfc.nasa.gov/new_web/ocean_color.html</x:v>
      </x:c>
    </x:row>
    <x:row r="52">
      <x:c r="A52" s="15" t="n">
        <x:v>51</x:v>
      </x:c>
      <x:c r="B52" s="15" t="str">
        <x:v>Archive/aggregator</x:v>
      </x:c>
      <x:c r="C52" s="15" t="str">
        <x:v>Satellite physical ocean</x:v>
      </x:c>
      <x:c r="D52" s="15" t="str">
        <x:v>NASA PO.DAAC</x:v>
      </x:c>
      <x:c r="E52" s="15" t="str">
        <x:v>Multi-mission satellite archive</x:v>
      </x:c>
      <x:c r="F52" s="15" t="str">
        <x:v>SST, SSH/topography, salinity, winds, waves, circulation, gravity and cryosphere-related ocean products</x:v>
      </x:c>
      <x:c r="G52" s="15" t="str">
        <x:v>Global</x:v>
      </x:c>
      <x:c r="H52" s="15" t="str">
        <x:v>Mission/product dependent</x:v>
      </x:c>
      <x:c r="I52" s="15" t="str">
        <x:v>NRT to reanalysis/science depending collection</x:v>
      </x:c>
      <x:c r="J52" s="15" t="str">
        <x:v>Earthdata Search, S3 cloud access, OPeNDAP, subscriptions</x:v>
      </x:c>
      <x:c r="K52" s="15" t="str">
        <x:v>NetCDF/HDF5/Zarr/product-dependent</x:v>
      </x:c>
      <x:c r="L52" s="15" t="str">
        <x:v>Product-specific, generally mature NASA standards</x:v>
      </x:c>
      <x:c r="M52" s="15" t="str">
        <x:v>Open NASA data; Earthdata login often required</x:v>
      </x:c>
      <x:c r="N52" s="15" t="str">
        <x:v>High</x:v>
      </x:c>
      <x:c r="O52" s="15" t="str">
        <x:v>Very High</x:v>
      </x:c>
      <x:c r="P52" s="15" t="str">
        <x:v>P0</x:v>
      </x:c>
      <x:c r="Q52" s="15" t="str">
        <x:v>Primary US global satellite physical-ocean archive and cloud-access endpoint.</x:v>
      </x:c>
      <x:c r="R52" s="15" t="str">
        <x:v>https://podaac.jpl.nasa.gov/</x:v>
      </x:c>
    </x:row>
    <x:row r="53">
      <x:c r="A53" s="15" t="n">
        <x:v>52</x:v>
      </x:c>
      <x:c r="B53" s="15" t="str">
        <x:v>Archive/aggregator</x:v>
      </x:c>
      <x:c r="C53" s="15" t="str">
        <x:v>Multi-domain ocean</x:v>
      </x:c>
      <x:c r="D53" s="15" t="str">
        <x:v>Copernicus Marine Data Store</x:v>
      </x:c>
      <x:c r="E53" s="15" t="str">
        <x:v>Satellite + in-situ + model/analysis products</x:v>
      </x:c>
      <x:c r="F53" s="15" t="str">
        <x:v>Physical, sea-ice, wave and BGC observations plus model products</x:v>
      </x:c>
      <x:c r="G53" s="15" t="str">
        <x:v>Global + regional seas</x:v>
      </x:c>
      <x:c r="H53" s="15" t="str">
        <x:v>Product dependent</x:v>
      </x:c>
      <x:c r="I53" s="15" t="str">
        <x:v>NRT to reprocessed historical</x:v>
      </x:c>
      <x:c r="J53" s="15" t="str">
        <x:v>Copernicus Marine Toolbox CLI/Python; subset/files/maps</x:v>
      </x:c>
      <x:c r="K53" s="15" t="str">
        <x:v>NetCDF, Zarr, CSV, Parquet depending service</x:v>
      </x:c>
      <x:c r="L53" s="15" t="str">
        <x:v>Harmonized service-level documentation/QC</x:v>
      </x:c>
      <x:c r="M53" s="15" t="str">
        <x:v>Free/open Copernicus licence</x:v>
      </x:c>
      <x:c r="N53" s="15" t="str">
        <x:v>Very High</x:v>
      </x:c>
      <x:c r="O53" s="15" t="str">
        <x:v>Very High</x:v>
      </x:c>
      <x:c r="P53" s="15" t="str">
        <x:v>P0</x:v>
      </x:c>
      <x:c r="Q53" s="15" t="str">
        <x:v>Best single harmonized endpoint for a broad global ocean stack; distinguish observations from model analyses.</x:v>
      </x:c>
      <x:c r="R53" s="15" t="str">
        <x:v>https://data.marine.copernicus.eu/</x:v>
      </x:c>
    </x:row>
    <x:row r="54">
      <x:c r="A54" s="15" t="n">
        <x:v>53</x:v>
      </x:c>
      <x:c r="B54" s="15" t="str">
        <x:v>Archive/aggregator</x:v>
      </x:c>
      <x:c r="C54" s="15" t="str">
        <x:v>Satellite + marine</x:v>
      </x:c>
      <x:c r="D54" s="15" t="str">
        <x:v>NOAA CoastWatch</x:v>
      </x:c>
      <x:c r="E54" s="15" t="str">
        <x:v>Operational satellite product distribution</x:v>
      </x:c>
      <x:c r="F54" s="15" t="str">
        <x:v>SST, ocean color, SSH, salinity, winds, waves and derived fields</x:v>
      </x:c>
      <x:c r="G54" s="15" t="str">
        <x:v>Global + regional</x:v>
      </x:c>
      <x:c r="H54" s="15" t="str">
        <x:v>Hours to daily, product-dependent</x:v>
      </x:c>
      <x:c r="I54" s="15" t="str">
        <x:v>Many NRT products within hours</x:v>
      </x:c>
      <x:c r="J54" s="15" t="str">
        <x:v>ERDDAP/THREDDS/OPeNDAP/download/visualization</x:v>
      </x:c>
      <x:c r="K54" s="15" t="str">
        <x:v>NetCDF and service outputs</x:v>
      </x:c>
      <x:c r="L54" s="15" t="str">
        <x:v>Operational product QC/monitoring</x:v>
      </x:c>
      <x:c r="M54" s="15" t="str">
        <x:v>NOAA public-access terms</x:v>
      </x:c>
      <x:c r="N54" s="15" t="str">
        <x:v>Very High</x:v>
      </x:c>
      <x:c r="O54" s="15" t="str">
        <x:v>High</x:v>
      </x:c>
      <x:c r="P54" s="15" t="str">
        <x:v>P0</x:v>
      </x:c>
      <x:c r="Q54" s="15" t="str">
        <x:v>Excellent low-latency operational US endpoint and easy programmatic access.</x:v>
      </x:c>
      <x:c r="R54" s="15" t="str">
        <x:v>https://coastwatch.noaa.gov/</x:v>
      </x:c>
    </x:row>
    <x:row r="55">
      <x:c r="A55" s="15" t="n">
        <x:v>54</x:v>
      </x:c>
      <x:c r="B55" s="15" t="str">
        <x:v>Archive/aggregator</x:v>
      </x:c>
      <x:c r="C55" s="15" t="str">
        <x:v>Multi-domain archive</x:v>
      </x:c>
      <x:c r="D55" s="15" t="str">
        <x:v>NOAA NCEI Marine</x:v>
      </x:c>
      <x:c r="E55" s="15" t="str">
        <x:v>Long-term archive of ships, buoys, platforms and derived products</x:v>
      </x:c>
      <x:c r="F55" s="15" t="str">
        <x:v>Surface marine, profiles, altimetry, bathymetry, ocean chemistry and many historical collections</x:v>
      </x:c>
      <x:c r="G55" s="15" t="str">
        <x:v>Global</x:v>
      </x:c>
      <x:c r="H55" s="15" t="str">
        <x:v>Dataset dependent</x:v>
      </x:c>
      <x:c r="I55" s="15" t="str">
        <x:v>NRT for some feeds; long-term archive for most</x:v>
      </x:c>
      <x:c r="J55" s="15" t="str">
        <x:v>NCEI web/cloud/THREDDS/ERDDAP/bulk services</x:v>
      </x:c>
      <x:c r="K55" s="15" t="str">
        <x:v>NetCDF, ASCII, BUFR and dataset-specific formats</x:v>
      </x:c>
      <x:c r="L55" s="15" t="str">
        <x:v>Archive-level QC and provenance</x:v>
      </x:c>
      <x:c r="M55" s="15" t="str">
        <x:v>Generally public NOAA data; dataset terms may vary</x:v>
      </x:c>
      <x:c r="N55" s="15" t="str">
        <x:v>Medium</x:v>
      </x:c>
      <x:c r="O55" s="15" t="str">
        <x:v>Very High</x:v>
      </x:c>
      <x:c r="P55" s="15" t="str">
        <x:v>P0</x:v>
      </x:c>
      <x:c r="Q55" s="15" t="str">
        <x:v>Long-term authoritative US archive; source for WOD, ICOADS and many mission archives.</x:v>
      </x:c>
      <x:c r="R55" s="15" t="str">
        <x:v>https://www.ncei.noaa.gov/products/marine</x:v>
      </x:c>
    </x:row>
    <x:row r="56">
      <x:c r="A56" s="15" t="n">
        <x:v>55</x:v>
      </x:c>
      <x:c r="B56" s="15" t="str">
        <x:v>Archive/aggregator</x:v>
      </x:c>
      <x:c r="C56" s="15" t="str">
        <x:v>Research data</x:v>
      </x:c>
      <x:c r="D56" s="15" t="str">
        <x:v>PANGAEA</x:v>
      </x:c>
      <x:c r="E56" s="15" t="str">
        <x:v>Published field/cruise/observatory datasets</x:v>
      </x:c>
      <x:c r="F56" s="15" t="str">
        <x:v>Physical ocean, chemistry, biology, geology, sediments, paleo and multidisciplinary marine data</x:v>
      </x:c>
      <x:c r="G56" s="15" t="str">
        <x:v>Global, publication/project dependent</x:v>
      </x:c>
      <x:c r="H56" s="15" t="str">
        <x:v>Dataset-specific</x:v>
      </x:c>
      <x:c r="I56" s="15" t="str">
        <x:v>Delayed/research archive</x:v>
      </x:c>
      <x:c r="J56" s="15" t="str">
        <x:v>Search, DOI-based downloads, APIs/metadata services</x:v>
      </x:c>
      <x:c r="K56" s="15" t="str">
        <x:v>Tabular, NetCDF and dataset-specific</x:v>
      </x:c>
      <x:c r="L56" s="15" t="str">
        <x:v>Curated repository metadata; scientific QC by contributors</x:v>
      </x:c>
      <x:c r="M56" s="15" t="str">
        <x:v>Usually open with dataset-specific Creative Commons terms</x:v>
      </x:c>
      <x:c r="N56" s="15" t="str">
        <x:v>Low</x:v>
      </x:c>
      <x:c r="O56" s="15" t="str">
        <x:v>High</x:v>
      </x:c>
      <x:c r="P56" s="15" t="str">
        <x:v>P2</x:v>
      </x:c>
      <x:c r="Q56" s="15" t="str">
        <x:v>Excellent long-tail research archive for niche variables not present in operational systems.</x:v>
      </x:c>
      <x:c r="R56" s="15" t="str">
        <x:v>https://www.pangaea.de/</x:v>
      </x:c>
    </x:row>
    <x:row r="57">
      <x:c r="A57" s="15" t="n">
        <x:v>56</x:v>
      </x:c>
      <x:c r="B57" s="15" t="str">
        <x:v>Archive/aggregator</x:v>
      </x:c>
      <x:c r="C57" s="15" t="str">
        <x:v>Ocean profile + quality</x:v>
      </x:c>
      <x:c r="D57" s="15" t="str">
        <x:v>IQuOD / WOD quality-control ecosystem</x:v>
      </x:c>
      <x:c r="E57" s="15" t="str">
        <x:v>Historical profile QC framework</x:v>
      </x:c>
      <x:c r="F57" s="15" t="str">
        <x:v>Primarily temperature/salinity profile metadata and QC research outputs</x:v>
      </x:c>
      <x:c r="G57" s="15" t="str">
        <x:v>Global</x:v>
      </x:c>
      <x:c r="H57" s="15" t="str">
        <x:v>Historical profile archive</x:v>
      </x:c>
      <x:c r="I57" s="15" t="str">
        <x:v>Delayed/research</x:v>
      </x:c>
      <x:c r="J57" s="15" t="str">
        <x:v>IQuOD resources + WOD backbone</x:v>
      </x:c>
      <x:c r="K57" s="15" t="str">
        <x:v>NetCDF/ASCII/product-dependent</x:v>
      </x:c>
      <x:c r="L57" s="15" t="str">
        <x:v>Focus is advanced profile QC and uncertainty</x:v>
      </x:c>
      <x:c r="M57" s="15" t="str">
        <x:v>Open research products</x:v>
      </x:c>
      <x:c r="N57" s="15" t="str">
        <x:v>Low</x:v>
      </x:c>
      <x:c r="O57" s="15" t="str">
        <x:v>High</x:v>
      </x:c>
      <x:c r="P57" s="15" t="str">
        <x:v>P2</x:v>
      </x:c>
      <x:c r="Q57" s="15" t="str">
        <x:v>Useful when building uncertainty-aware historical profile training sets; operational status/products should be checked per release.</x:v>
      </x:c>
      <x:c r="R57" s="15" t="str">
        <x:v>https://www.iquod.org/</x:v>
      </x:c>
    </x:row>
    <x:row r="58">
      <x:c r="A58" s="15" t="n">
        <x:v>57</x:v>
      </x:c>
      <x:c r="B58" s="15" t="str">
        <x:v>Operational metadata</x:v>
      </x:c>
      <x:c r="C58" s="15" t="str">
        <x:v>Network metadata</x:v>
      </x:c>
      <x:c r="D58" s="15" t="str">
        <x:v>OceanOPS</x:v>
      </x:c>
      <x:c r="E58" s="15" t="str">
        <x:v>Global observing-platform metadata and status</x:v>
      </x:c>
      <x:c r="F58" s="15" t="str">
        <x:v>Platform IDs, deployments, status, network metadata; not primarily observations</x:v>
      </x:c>
      <x:c r="G58" s="15" t="str">
        <x:v>Global</x:v>
      </x:c>
      <x:c r="H58" s="15" t="str">
        <x:v>Near-real-time metadata updates</x:v>
      </x:c>
      <x:c r="I58" s="15" t="str">
        <x:v>Near-real-time monitoring</x:v>
      </x:c>
      <x:c r="J58" s="15" t="str">
        <x:v>OceanOPS web/API services</x:v>
      </x:c>
      <x:c r="K58" s="15" t="str">
        <x:v>JSON/CSV/web services depending endpoint</x:v>
      </x:c>
      <x:c r="L58" s="15" t="str">
        <x:v>Operational metadata QC</x:v>
      </x:c>
      <x:c r="M58" s="15" t="str">
        <x:v>Open metadata/service terms</x:v>
      </x:c>
      <x:c r="N58" s="15" t="str">
        <x:v>High</x:v>
      </x:c>
      <x:c r="O58" s="15" t="str">
        <x:v>Medium</x:v>
      </x:c>
      <x:c r="P58" s="15" t="str">
        <x:v>P0</x:v>
      </x:c>
      <x:c r="Q58" s="15" t="str">
        <x:v>Use as the platform registry/provenance layer joining Argo, DBCP, ships, gliders, GLOSS, OceanSITES and others.</x:v>
      </x:c>
      <x:c r="R58" s="15" t="str">
        <x:v>https://www.ocean-ops.org/</x:v>
      </x:c>
    </x:row>
    <x:row r="59">
      <x:c r="A59" s="15" t="n">
        <x:v>58</x:v>
      </x:c>
      <x:c r="B59" s="15" t="str">
        <x:v>Direct network / portal</x:v>
      </x:c>
      <x:c r="C59" s="15" t="str">
        <x:v>Buoys + marine met</x:v>
      </x:c>
      <x:c r="D59" s="15" t="str">
        <x:v>NOAA National Data Buoy Center (NDBC)</x:v>
      </x:c>
      <x:c r="E59" s="15" t="str">
        <x:v>Moored ocean buoys, drifting buoys, C-MAN stations, DART systems and partner platforms</x:v>
      </x:c>
      <x:c r="F59" s="15" t="str">
        <x:v>Wind speed/direction, SLP, air T, dew point/RH, SST/water T, wave height/period/direction, spectral waves; selected ocean currents, water level and subsurface variables</x:v>
      </x:c>
      <x:c r="G59" s="15" t="str">
        <x:v>Primarily U.S. coastal/open-ocean waters plus partner observations distributed from stations around the world</x:v>
      </x:c>
      <x:c r="H59" s="15" t="str">
        <x:v>Typically minutes to hourly depending sensor/station</x:v>
      </x:c>
      <x:c r="I59" s="15" t="str">
        <x:v>Real time; last ~45 days online for NDBC real-time files, with historical/QC archives</x:v>
      </x:c>
      <x:c r="J59" s="15" t="str">
        <x:v>NDBC station pages and bulk real-time directories; DODS/OPeNDAP services; historical archives</x:v>
      </x:c>
      <x:c r="K59" s="15" t="str">
        <x:v>ASCII/text; NetCDF/OPeNDAP for selected services; WMO formats operationally</x:v>
      </x:c>
      <x:c r="L59" s="15" t="str">
        <x:v>Automated QC for real-time U.S. data; post-processed/QC historical archive</x:v>
      </x:c>
      <x:c r="M59" s="15" t="str">
        <x:v>NOAA public-access data; partner data terms may differ</x:v>
      </x:c>
      <x:c r="N59" s="15" t="str">
        <x:v>Very High</x:v>
      </x:c>
      <x:c r="O59" s="15" t="str">
        <x:v>High</x:v>
      </x:c>
      <x:c r="P59" s="15" t="str">
        <x:v>P0</x:v>
      </x:c>
      <x:c r="Q59" s="15" t="str">
        <x:v>This should be a first-class buoy ingestion source. Retain station ID/WMO ID, ownership and sensor metadata because NDBC also redistributes partner observations.</x:v>
      </x:c>
      <x:c r="R59" s="15" t="str">
        <x:v>https://www.ndbc.noaa.gov/</x:v>
      </x:c>
    </x:row>
    <x:row r="60">
      <x:c r="A60" s="15" t="n">
        <x:v>59</x:v>
      </x:c>
      <x:c r="B60" s="15" t="str">
        <x:v>Direct network</x:v>
      </x:c>
      <x:c r="C60" s="15" t="str">
        <x:v>Polar buoys</x:v>
      </x:c>
      <x:c r="D60" s="15" t="str">
        <x:v>International Arctic Buoy Programme (IABP)</x:v>
      </x:c>
      <x:c r="E60" s="15" t="str">
        <x:v>Drifting sea-ice and ocean buoys</x:v>
      </x:c>
      <x:c r="F60" s="15" t="str">
        <x:v>Position/drift, barometric pressure, pressure tendency, surface temperature, air temperature, hull temperature and other platform-specific variables</x:v>
      </x:c>
      <x:c r="G60" s="15" t="str">
        <x:v>Arctic Ocean and surrounding sea-ice zone</x:v>
      </x:c>
      <x:c r="H60" s="15" t="str">
        <x:v>Platform-dependent; frequent telemetry while active</x:v>
      </x:c>
      <x:c r="I60" s="15" t="str">
        <x:v>Operational observations can enter the GTS; research Level-1 archives are delayed/QC'd</x:v>
      </x:c>
      <x:c r="J60" s="15" t="str">
        <x:v>IABP web data products and research archive</x:v>
      </x:c>
      <x:c r="K60" s="15" t="str">
        <x:v>ASCII/CSV-like tabular files</x:v>
      </x:c>
      <x:c r="L60" s="15" t="str">
        <x:v>Level-1 archive includes QC such as removal of erroneous positions; variable-specific QC varies</x:v>
      </x:c>
      <x:c r="M60" s="15" t="str">
        <x:v>Open research access; attribution/data-use conventions apply</x:v>
      </x:c>
      <x:c r="N60" s="15" t="str">
        <x:v>High</x:v>
      </x:c>
      <x:c r="O60" s="15" t="str">
        <x:v>High</x:v>
      </x:c>
      <x:c r="P60" s="15" t="str">
        <x:v>P1</x:v>
      </x:c>
      <x:c r="Q60" s="15" t="str">
        <x:v>Critical polar buoy source for weather, ice drift and model validation/assimilation.</x:v>
      </x:c>
      <x:c r="R60" s="15" t="str">
        <x:v>https://iabp.apl.uw.edu/data.html</x:v>
      </x:c>
    </x:row>
    <x:row r="61">
      <x:c r="A61" s="15" t="n">
        <x:v>60</x:v>
      </x:c>
      <x:c r="B61" s="15" t="str">
        <x:v>Direct network</x:v>
      </x:c>
      <x:c r="C61" s="15" t="str">
        <x:v>Polar buoys</x:v>
      </x:c>
      <x:c r="D61" s="15" t="str">
        <x:v>International Programme for Antarctic Buoys (IPAB)</x:v>
      </x:c>
      <x:c r="E61" s="15" t="str">
        <x:v>Drifting sea-ice buoys</x:v>
      </x:c>
      <x:c r="F61" s="15" t="str">
        <x:v>Position/drift, surface temperature, air temperature, atmospheric pressure; other sensors depending buoy</x:v>
      </x:c>
      <x:c r="G61" s="15" t="str">
        <x:v>Southern Ocean / Antarctic sea-ice zone</x:v>
      </x:c>
      <x:c r="H61" s="15" t="str">
        <x:v>Platform-dependent, generally frequent telemetry</x:v>
      </x:c>
      <x:c r="I61" s="15" t="str">
        <x:v>Many active-buoy observations are live/raw; many are also transferred to the GTS</x:v>
      </x:c>
      <x:c r="J61" s="15" t="str">
        <x:v>IPAB / Meereisportal live observations; program archives</x:v>
      </x:c>
      <x:c r="K61" s="15" t="str">
        <x:v>Portal/tabular downloads; GTS operational formats</x:v>
      </x:c>
      <x:c r="L61" s="15" t="str">
        <x:v>Live data may be raw; archive quality varies by campaign/operator</x:v>
      </x:c>
      <x:c r="M61" s="15" t="str">
        <x:v>Open/partner-based; older observations may require direct contact</x:v>
      </x:c>
      <x:c r="N61" s="15" t="str">
        <x:v>High</x:v>
      </x:c>
      <x:c r="O61" s="15" t="str">
        <x:v>High</x:v>
      </x:c>
      <x:c r="P61" s="15" t="str">
        <x:v>P1</x:v>
      </x:c>
      <x:c r="Q61" s="15" t="str">
        <x:v>Important Antarctic counterpart to IABP. Older pre-2012 observations are less consistently centralized.</x:v>
      </x:c>
      <x:c r="R61" s="15" t="str">
        <x:v>https://www.ipab.aq/data-buoy-types/data/</x:v>
      </x:c>
    </x:row>
    <x:row r="62">
      <x:c r="A62" s="15" t="n">
        <x:v>61</x:v>
      </x:c>
      <x:c r="B62" s="15" t="str">
        <x:v>Data portal</x:v>
      </x:c>
      <x:c r="C62" s="15" t="str">
        <x:v>Tropical moored buoys</x:v>
      </x:c>
      <x:c r="D62" s="15" t="str">
        <x:v>NOAA PMEL GTMBA ERDDAP</x:v>
      </x:c>
      <x:c r="E62" s="15" t="str">
        <x:v>TAO/TRITON, PIRATA and RAMA moored-buoy data</x:v>
      </x:c>
      <x:c r="F62" s="15" t="str">
        <x:v>Ocean T/S, SST, currents, wind, SLP, air T, RH, radiation and derived air-sea fluxes; variable availability by site</x:v>
      </x:c>
      <x:c r="G62" s="15" t="str">
        <x:v>Tropical Pacific, Atlantic and Indian oceans</x:v>
      </x:c>
      <x:c r="H62" s="15" t="str">
        <x:v>High-frequency source observations; PMEL ERDDAP also provides daily products</x:v>
      </x:c>
      <x:c r="I62" s="15" t="str">
        <x:v>Operational observations distributed via GTS; many TAO reports are available within hours; archive products updated continuously</x:v>
      </x:c>
      <x:c r="J62" s="15" t="str">
        <x:v>NOAA PMEL ERDDAP / GTMBA data delivery; WMO operational feed</x:v>
      </x:c>
      <x:c r="K62" s="15" t="str">
        <x:v>NetCDF/CSV/JSON through ERDDAP; BUOY messages operationally</x:v>
      </x:c>
      <x:c r="L62" s="15" t="str">
        <x:v>PMEL quality monitoring plus array/operator QC</x:v>
      </x:c>
      <x:c r="M62" s="15" t="str">
        <x:v>NOAA/public research access</x:v>
      </x:c>
      <x:c r="N62" s="15" t="str">
        <x:v>Very High</x:v>
      </x:c>
      <x:c r="O62" s="15" t="str">
        <x:v>Very High</x:v>
      </x:c>
      <x:c r="P62" s="15" t="str">
        <x:v>P0</x:v>
      </x:c>
      <x:c r="Q62" s="15" t="str">
        <x:v>Explicit programmatic data endpoint for the tropical moored arrays; use instead of treating TAO/PIRATA/RAMA only as conceptual networks.</x:v>
      </x:c>
      <x:c r="R62" s="15" t="str">
        <x:v>https://data.pmel.noaa.gov/pmel/erddap/</x:v>
      </x:c>
    </x:row>
  </x:sheetData>
  <x:conditionalFormatting sqref="P2:P58">
    <x:cfRule type="expression" dxfId="0" priority="1">
      <x:formula>P2="P0"</x:formula>
    </x:cfRule>
    <x:cfRule type="expression" dxfId="1" priority="2">
      <x:formula>P2="P1"</x:formula>
    </x:cfRule>
    <x:cfRule type="expression" dxfId="2" priority="3">
      <x:formula>P2="P2"</x:formula>
    </x:cfRule>
  </x:conditionalFormatting>
  <x:conditionalFormatting sqref="N2:N58">
    <x:cfRule type="expression" dxfId="3" priority="4">
      <x:formula>N2="Very High"</x:formula>
    </x:cfRule>
    <x:cfRule type="expression" dxfId="4" priority="5">
      <x:formula>N2="High"</x:formula>
    </x:cfRule>
    <x:cfRule type="expression" dxfId="5" priority="6">
      <x:formula>N2="Medium"</x:formula>
    </x:cfRule>
    <x:cfRule type="expression" dxfId="6" priority="7">
      <x:formula>N2="Low"</x:formula>
    </x:cfRule>
  </x:conditionalFormatting>
  <x:conditionalFormatting sqref="O2:O58">
    <x:cfRule type="expression" dxfId="7" priority="8">
      <x:formula>O2="Very High"</x:formula>
    </x:cfRule>
    <x:cfRule type="expression" dxfId="8" priority="9">
      <x:formula>O2="High"</x:formula>
    </x:cfRule>
    <x:cfRule type="expression" dxfId="9" priority="10">
      <x:formula>O2="Medium"</x:formula>
    </x:cfRule>
    <x:cfRule type="expression" dxfId="10" priority="11">
      <x:formula>O2="Low"</x:formula>
    </x:cfRule>
  </x:conditionalFormatting>
  <x:conditionalFormatting sqref="N59:N62">
    <x:cfRule type="expression" dxfId="11" priority="12">
      <x:formula>N59="Very High"</x:formula>
    </x:cfRule>
    <x:cfRule type="expression" dxfId="12" priority="13">
      <x:formula>N59="High"</x:formula>
    </x:cfRule>
    <x:cfRule type="expression" dxfId="13" priority="14">
      <x:formula>N59="Medium"</x:formula>
    </x:cfRule>
    <x:cfRule type="expression" dxfId="14" priority="15">
      <x:formula>N59="Low"</x:formula>
    </x:cfRule>
  </x:conditionalFormatting>
  <x:conditionalFormatting sqref="O59:O62">
    <x:cfRule type="expression" dxfId="15" priority="16">
      <x:formula>O59="Very High"</x:formula>
    </x:cfRule>
    <x:cfRule type="expression" dxfId="16" priority="17">
      <x:formula>O59="High"</x:formula>
    </x:cfRule>
    <x:cfRule type="expression" dxfId="17" priority="18">
      <x:formula>O59="Medium"</x:formula>
    </x:cfRule>
    <x:cfRule type="expression" dxfId="18" priority="19">
      <x:formula>O59="Low"</x:formula>
    </x:cfRule>
  </x:conditionalFormatting>
  <x:conditionalFormatting sqref="P59:P62">
    <x:cfRule type="expression" dxfId="19" priority="20">
      <x:formula>P59="P0"</x:formula>
    </x:cfRule>
    <x:cfRule type="expression" dxfId="20" priority="21">
      <x:formula>P59="P1"</x:formula>
    </x:cfRule>
    <x:cfRule type="expression" dxfId="21" priority="22">
      <x:formula>P59="P2"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dad329a91943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8" hidden="0" customWidth="1"/>
    <x:col min="4" max="4" width="42" hidden="0" customWidth="1"/>
    <x:col min="5" max="5" width="25" hidden="0" customWidth="1"/>
    <x:col min="6" max="6" width="22" hidden="0" customWidth="1"/>
    <x:col min="7" max="7" width="44" hidden="0" customWidth="1"/>
    <x:col min="8" max="8" width="50" hidden="0" customWidth="1"/>
  </x:cols>
  <x:sheetData>
    <x:row r="1">
      <x:c r="A1" s="14" t="str">
        <x:v>Portal / Service</x:v>
      </x:c>
      <x:c r="B1" s="14" t="str">
        <x:v>Primary Role</x:v>
      </x:c>
      <x:c r="C1" s="14" t="str">
        <x:v>Best For</x:v>
      </x:c>
      <x:c r="D1" s="14" t="str">
        <x:v>Programmatic Access</x:v>
      </x:c>
      <x:c r="E1" s="14" t="str">
        <x:v>Formats</x:v>
      </x:c>
      <x:c r="F1" s="14" t="str">
        <x:v>Latency Profile</x:v>
      </x:c>
      <x:c r="G1" s="14" t="str">
        <x:v>Key Caveat</x:v>
      </x:c>
      <x:c r="H1" s="14" t="str">
        <x:v>URL</x:v>
      </x:c>
    </x:row>
    <x:row r="2">
      <x:c r="A2" s="15" t="str">
        <x:v>Copernicus Marine Data Store</x:v>
      </x:c>
      <x:c r="B2" s="15" t="str">
        <x:v>Harmonized global/regional ocean observation and model distribution</x:v>
      </x:c>
      <x:c r="C2" s="15" t="str">
        <x:v>Single-endpoint in-situ + satellite ingestion</x:v>
      </x:c>
      <x:c r="D2" s="15" t="str">
        <x:v>Copernicus Marine Toolbox CLI/Python; subset/files/maps</x:v>
      </x:c>
      <x:c r="E2" s="15" t="str">
        <x:v>NetCDF, Zarr, CSV, Parquet</x:v>
      </x:c>
      <x:c r="F2" s="15" t="str">
        <x:v>NRT through delayed/reprocessed</x:v>
      </x:c>
      <x:c r="G2" s="15" t="str">
        <x:v>Avoid mixing observational and model-analysis products without provenance tags</x:v>
      </x:c>
      <x:c r="H2" s="15" t="str">
        <x:v>https://data.marine.copernicus.eu/</x:v>
      </x:c>
    </x:row>
    <x:row r="3">
      <x:c r="A3" s="15" t="str">
        <x:v>WMO WIS2</x:v>
      </x:c>
      <x:c r="B3" s="15" t="str">
        <x:v>Real-time operational global exchange</x:v>
      </x:c>
      <x:c r="C3" s="15" t="str">
        <x:v>Lowest-latency marine met/ocean operational feed</x:v>
      </x:c>
      <x:c r="D3" s="15" t="str">
        <x:v>MQTT notifications + HTTPS object retrieval</x:v>
      </x:c>
      <x:c r="E3" s="15" t="str">
        <x:v>BUFR and WMO-defined payloads</x:v>
      </x:c>
      <x:c r="F3" s="15" t="str">
        <x:v>Real time</x:v>
      </x:c>
      <x:c r="G3" s="15" t="str">
        <x:v>Requires topic management, center/source metadata and transition awareness from GTS</x:v>
      </x:c>
      <x:c r="H3" s="15" t="str">
        <x:v>https://community.wmo.int/site/knowledge-hub/programmes-and-initiatives/wmo-information-system-wis/wis2-overview</x:v>
      </x:c>
    </x:row>
    <x:row r="4">
      <x:c r="A4" s="15" t="str">
        <x:v>NASA PO.DAAC</x:v>
      </x:c>
      <x:c r="B4" s="15" t="str">
        <x:v>Satellite physical-ocean archive/cloud distribution</x:v>
      </x:c>
      <x:c r="C4" s="15" t="str">
        <x:v>SSH, SST, SSS, winds, waves, SWOT, CYGNSS and related products</x:v>
      </x:c>
      <x:c r="D4" s="15" t="str">
        <x:v>Earthdata APIs, S3, OPeNDAP, subscriptions</x:v>
      </x:c>
      <x:c r="E4" s="15" t="str">
        <x:v>NetCDF/HDF5/product-dependent</x:v>
      </x:c>
      <x:c r="F4" s="15" t="str">
        <x:v>NRT to science/reanalysis</x:v>
      </x:c>
      <x:c r="G4" s="15" t="str">
        <x:v>Earthdata authentication and collection/version management</x:v>
      </x:c>
      <x:c r="H4" s="15" t="str">
        <x:v>https://podaac.jpl.nasa.gov/</x:v>
      </x:c>
    </x:row>
    <x:row r="5">
      <x:c r="A5" s="15" t="str">
        <x:v>NOAA CoastWatch</x:v>
      </x:c>
      <x:c r="B5" s="15" t="str">
        <x:v>Operational satellite ocean products</x:v>
      </x:c>
      <x:c r="C5" s="15" t="str">
        <x:v>Low-latency SST, SSH, winds, waves, ocean color</x:v>
      </x:c>
      <x:c r="D5" s="15" t="str">
        <x:v>ERDDAP, THREDDS, OPeNDAP, web services</x:v>
      </x:c>
      <x:c r="E5" s="15" t="str">
        <x:v>NetCDF</x:v>
      </x:c>
      <x:c r="F5" s="15" t="str">
        <x:v>Often hours</x:v>
      </x:c>
      <x:c r="G5" s="15" t="str">
        <x:v>Product catalog is operationally oriented; verify individual latency/QC</x:v>
      </x:c>
      <x:c r="H5" s="15" t="str">
        <x:v>https://coastwatch.noaa.gov/</x:v>
      </x:c>
    </x:row>
    <x:row r="6">
      <x:c r="A6" s="15" t="str">
        <x:v>NOAA NCEI</x:v>
      </x:c>
      <x:c r="B6" s="15" t="str">
        <x:v>Authoritative archive</x:v>
      </x:c>
      <x:c r="C6" s="15" t="str">
        <x:v>Historical marine observations, WOD, ICOADS, mission archives</x:v>
      </x:c>
      <x:c r="D6" s="15" t="str">
        <x:v>Web/cloud/THREDDS/ERDDAP/bulk</x:v>
      </x:c>
      <x:c r="E6" s="15" t="str">
        <x:v>Many</x:v>
      </x:c>
      <x:c r="F6" s="15" t="str">
        <x:v>Archive; some NRT</x:v>
      </x:c>
      <x:c r="G6" s="15" t="str">
        <x:v>Heterogeneous collections and formats</x:v>
      </x:c>
      <x:c r="H6" s="15" t="str">
        <x:v>https://www.ncei.noaa.gov/products/marine</x:v>
      </x:c>
    </x:row>
    <x:row r="7">
      <x:c r="A7" s="15" t="str">
        <x:v>Argo GDACs</x:v>
      </x:c>
      <x:c r="B7" s="15" t="str">
        <x:v>Authoritative float distribution</x:v>
      </x:c>
      <x:c r="C7" s="15" t="str">
        <x:v>Core/Deep/BGC Argo observation-level ingestion</x:v>
      </x:c>
      <x:c r="D7" s="15" t="str">
        <x:v>HTTP, FTP, rsync</x:v>
      </x:c>
      <x:c r="E7" s="15" t="str">
        <x:v>NetCDF</x:v>
      </x:c>
      <x:c r="F7" s="15" t="str">
        <x:v>~12–24 h target for RT profiles</x:v>
      </x:c>
      <x:c r="G7" s="15" t="str">
        <x:v>Use data mode, QC and adjusted variables correctly</x:v>
      </x:c>
      <x:c r="H7" s="15" t="str">
        <x:v>https://argo.ucsd.edu/data/data-from-gdacs/</x:v>
      </x:c>
    </x:row>
    <x:row r="8">
      <x:c r="A8" s="15" t="str">
        <x:v>GHRSST GDAC/LTSRF</x:v>
      </x:c>
      <x:c r="B8" s="15" t="str">
        <x:v>Standardized SST distribution</x:v>
      </x:c>
      <x:c r="C8" s="15" t="str">
        <x:v>Observation-level L2P for DA; L4 for ML/initialization</x:v>
      </x:c>
      <x:c r="D8" s="15" t="str">
        <x:v>PO.DAAC/Earthdata, OPeNDAP; NCEI long-term archive</x:v>
      </x:c>
      <x:c r="E8" s="15" t="str">
        <x:v>CF-NetCDF</x:v>
      </x:c>
      <x:c r="F8" s="15" t="str">
        <x:v>NRT + long-term archive</x:v>
      </x:c>
      <x:c r="G8" s="15" t="str">
        <x:v>L4 is an analysis, not raw observation</x:v>
      </x:c>
      <x:c r="H8" s="15" t="str">
        <x:v>https://ghrsst.org/ghrsst-data-services/for-sst-data-users/services/</x:v>
      </x:c>
    </x:row>
    <x:row r="9">
      <x:c r="A9" s="15" t="str">
        <x:v>CCHDO</x:v>
      </x:c>
      <x:c r="B9" s="15" t="str">
        <x:v>Reference hydrography archive</x:v>
      </x:c>
      <x:c r="C9" s="15" t="str">
        <x:v>GO-SHIP/WOCE/CLIVAR full-depth calibration-quality data</x:v>
      </x:c>
      <x:c r="D9" s="15" t="str">
        <x:v>Search, ERDDAP, direct downloads</x:v>
      </x:c>
      <x:c r="E9" s="15" t="str">
        <x:v>CF-NetCDF, WHP-Exchange CSV, WOCE</x:v>
      </x:c>
      <x:c r="F9" s="15" t="str">
        <x:v>Delayed</x:v>
      </x:c>
      <x:c r="G9" s="15" t="str">
        <x:v>Sparse in time but highest-quality reference data</x:v>
      </x:c>
      <x:c r="H9" s="15" t="str">
        <x:v>https://cchdo.ucsd.edu/</x:v>
      </x:c>
    </x:row>
    <x:row r="10">
      <x:c r="A10" s="15" t="str">
        <x:v>GLOSS data centers</x:v>
      </x:c>
      <x:c r="B10" s="15" t="str">
        <x:v>Sea-level network distribution</x:v>
      </x:c>
      <x:c r="C10" s="15" t="str">
        <x:v>Tide gauges, surge/tide validation and sea-level climate records</x:v>
      </x:c>
      <x:c r="D10" s="15" t="str">
        <x:v>IOC/VLIZ, UHSLC, BODC, PSMSL services</x:v>
      </x:c>
      <x:c r="E10" s="15" t="str">
        <x:v>Center-dependent</x:v>
      </x:c>
      <x:c r="F10" s="15" t="str">
        <x:v>Real time to annual final</x:v>
      </x:c>
      <x:c r="G10" s="15" t="str">
        <x:v>Different centers represent different QC/latency tiers</x:v>
      </x:c>
      <x:c r="H10" s="15" t="str">
        <x:v>https://gloss-sealevel.org/data</x:v>
      </x:c>
    </x:row>
    <x:row r="11">
      <x:c r="A11" s="15" t="str">
        <x:v>OBIS</x:v>
      </x:c>
      <x:c r="B11" s="15" t="str">
        <x:v>Marine biodiversity integration</x:v>
      </x:c>
      <x:c r="C11" s="15" t="str">
        <x:v>Global occurrence/event datasets and biodiversity ML</x:v>
      </x:c>
      <x:c r="D11" s="15" t="str">
        <x:v>API, R, AWS Open Data</x:v>
      </x:c>
      <x:c r="E11" s="15" t="str">
        <x:v>JSON, TSV, GeoParquet</x:v>
      </x:c>
      <x:c r="F11" s="15" t="str">
        <x:v>Archive/continuous ingestion</x:v>
      </x:c>
      <x:c r="G11" s="15" t="str">
        <x:v>Underlying data licenses and sampling effort vary</x:v>
      </x:c>
      <x:c r="H11" s="15" t="str">
        <x:v>https://portal.obis.org/data/access/</x:v>
      </x:c>
    </x:row>
    <x:row r="12">
      <x:c r="A12" s="15" t="str">
        <x:v>GEBCO</x:v>
      </x:c>
      <x:c r="B12" s="15" t="str">
        <x:v>Global terrain/bathymetry synthesis</x:v>
      </x:c>
      <x:c r="C12" s="15" t="str">
        <x:v>Model bathymetry, ML static features, seafloor masks</x:v>
      </x:c>
      <x:c r="D12" s="15" t="str">
        <x:v>Bulk, subset app, OPeNDAP</x:v>
      </x:c>
      <x:c r="E12" s="15" t="str">
        <x:v>NetCDF, GeoTIFF, ASCII</x:v>
      </x:c>
      <x:c r="F12" s="15" t="str">
        <x:v>Annual</x:v>
      </x:c>
      <x:c r="G12" s="15" t="str">
        <x:v>Grid mixes measured and inferred/source classes; use TID grid</x:v>
      </x:c>
      <x:c r="H12" s="15" t="str">
        <x:v>https://www.gebco.net/data-products/gridded-bathymetry-data</x:v>
      </x:c>
    </x:row>
  </x:sheetData>
  <x:pageMargins left="0.7" right="0.7" top="0.75" bottom="0.75" header="0.3" footer="0.3"/>
  <x:tableParts count="1">
    <x:tablePart xmlns:r="http://schemas.openxmlformats.org/officeDocument/2006/relationships" r:id="R9d1d70ca988241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52" hidden="0" customWidth="1"/>
    <x:col min="4" max="4" width="45" hidden="0" customWidth="1"/>
    <x:col min="5" max="5" width="58" hidden="0" customWidth="1"/>
  </x:cols>
  <x:sheetData>
    <x:row r="1">
      <x:c r="A1" s="14" t="str">
        <x:v>Use Case</x:v>
      </x:c>
      <x:c r="B1" s="14" t="str">
        <x:v>P0 / First Ingest</x:v>
      </x:c>
      <x:c r="C1" s="14" t="str">
        <x:v>P1 / Add Next</x:v>
      </x:c>
      <x:c r="D1" s="14" t="str">
        <x:v>Specialized / P2</x:v>
      </x:c>
      <x:c r="E1" s="14" t="str">
        <x:v>Notes</x:v>
      </x:c>
    </x:row>
    <x:row r="2">
      <x:c r="A2" s="15" t="str">
        <x:v>Global physical-ocean DA</x:v>
      </x:c>
      <x:c r="B2" s="15" t="str">
        <x:v>Core Argo; GDP drifters; DBCP/tropical moorings; WIS2; GHRSST L2P; ASCAT; multi-mission altimetry; passive-microwave sea ice; GLOSS</x:v>
      </x:c>
      <x:c r="C2" s="15" t="str">
        <x:v>Deep Argo; OceanSITES; OceanGliders; SMAP/SMOS; SWOT; Copernicus current products</x:v>
      </x:c>
      <x:c r="D2" s="15" t="str">
        <x:v>GO-SHIP reference; GRACE-FO</x:v>
      </x:c>
      <x:c r="E2" s="15" t="str">
        <x:v>Preserve observation errors, QC flags, platform IDs, data modes and timestamps. Do not assimilate gridded analyses as if they were raw observations.</x:v>
      </x:c>
    </x:row>
    <x:row r="3">
      <x:c r="A3" s="15" t="str">
        <x:v>Global AI/ML foundation training</x:v>
      </x:c>
      <x:c r="B3" s="15" t="str">
        <x:v>WOD; ICOADS; Core Argo; GHRSST; altimetry; GEBCO; Copernicus/NCEI archives</x:v>
      </x:c>
      <x:c r="C3" s="15" t="str">
        <x:v>CORA; Deep/BGC-Argo; OceanSITES; GLOSS; SMAP/SMOS; ocean color; GO-SHIP</x:v>
      </x:c>
      <x:c r="D3" s="15" t="str">
        <x:v>PANGAEA; OBIS; CPR; SeaBASS/AERONET-OC</x:v>
      </x:c>
      <x:c r="E3" s="15" t="str">
        <x:v>Build deduplication rules because aggregator datasets often contain the same observations as direct network feeds.</x:v>
      </x:c>
    </x:row>
    <x:row r="4">
      <x:c r="A4" s="15" t="str">
        <x:v>Wave / sea-state modeling</x:v>
      </x:c>
      <x:c r="B4" s="15" t="str">
        <x:v>DBCP buoy waves; multi-altimeter SWH; ASCAT winds; WIS2 marine feed</x:v>
      </x:c>
      <x:c r="C4" s="15" t="str">
        <x:v>SAR wave products; OceanSITES; VOS visual wave reports</x:v>
      </x:c>
      <x:c r="D4" s="15" t="str">
        <x:v>HF radar wave products; specialized research buoys</x:v>
      </x:c>
      <x:c r="E4" s="15" t="str">
        <x:v>Use buoy observations for point truth and altimetry for broad global coverage.</x:v>
      </x:c>
    </x:row>
    <x:row r="5">
      <x:c r="A5" s="15" t="str">
        <x:v>Sea-level / coastal water levels</x:v>
      </x:c>
      <x:c r="B5" s="15" t="str">
        <x:v>GLOSS; multi-mission altimetry; WIS2 coastal feeds</x:v>
      </x:c>
      <x:c r="C5" s="15" t="str">
        <x:v>SWOT; coastal HF radar currents</x:v>
      </x:c>
      <x:c r="D5" s="15" t="str">
        <x:v>Tsunami/DART; local national gauge networks</x:v>
      </x:c>
      <x:c r="E5" s="15" t="str">
        <x:v>Separate tidal datum/reference-frame handling from anomaly products.</x:v>
      </x:c>
    </x:row>
    <x:row r="6">
      <x:c r="A6" s="15" t="str">
        <x:v>Biogeochemical ocean</x:v>
      </x:c>
      <x:c r="B6" s="15" t="str">
        <x:v>BGC-Argo; SOCAT; GLODAP</x:v>
      </x:c>
      <x:c r="C6" s="15" t="str">
        <x:v>GO-SHIP; OceanSITES; VIIRS/OLCI/PACE ocean color</x:v>
      </x:c>
      <x:c r="D6" s="15" t="str">
        <x:v>SeaBASS; PANGAEA; specialized cruises</x:v>
      </x:c>
      <x:c r="E6" s="15" t="str">
        <x:v>BGC sensor drift/calibration and variable-specific QC need dedicated pipelines.</x:v>
      </x:c>
    </x:row>
    <x:row r="7">
      <x:c r="A7" s="15" t="str">
        <x:v>Marine biodiversity/ecosystem</x:v>
      </x:c>
      <x:c r="B7" s="15" t="str">
        <x:v>OBIS; VIIRS/OLCI/PACE ocean color</x:v>
      </x:c>
      <x:c r="C7" s="15" t="str">
        <x:v>CPR; AniBOS/MEOP</x:v>
      </x:c>
      <x:c r="D7" s="15" t="str">
        <x:v>OBIS-SEAMAP; passive acoustics; PANGAEA niche datasets</x:v>
      </x:c>
      <x:c r="E7" s="15" t="str">
        <x:v>Sampling effort/detection bias is as important as occurrence labels.</x:v>
      </x:c>
    </x:row>
    <x:row r="8">
      <x:c r="A8" s="15" t="str">
        <x:v>Polar / sea-ice forecasting</x:v>
      </x:c>
      <x:c r="B8" s="15" t="str">
        <x:v>Passive-microwave sea ice; ASCAT; GHRSST where ice-free; WIS2</x:v>
      </x:c>
      <x:c r="C8" s="15" t="str">
        <x:v>CryoSat-2; Sentinel-1 SAR; AniBOS/MEOP; ice-capable Argo</x:v>
      </x:c>
      <x:c r="D8" s="15" t="str">
        <x:v>SWOT polar products; local ice buoys</x:v>
      </x:c>
      <x:c r="E8" s="15" t="str">
        <x:v>All-weather microwave/SAR dominate operational value in cloud/dark conditions.</x:v>
      </x:c>
    </x:row>
  </x:sheetData>
  <x:pageMargins left="0.7" right="0.7" top="0.75" bottom="0.75" header="0.3" footer="0.3"/>
  <x:tableParts count="1">
    <x:tablePart xmlns:r="http://schemas.openxmlformats.org/officeDocument/2006/relationships" r:id="Re1f24df020ad48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62" hidden="0" customWidth="1"/>
    <x:col min="4" max="4" width="22" hidden="0" customWidth="1"/>
    <x:col min="5" max="5" width="18" hidden="0" customWidth="1"/>
    <x:col min="6" max="6" width="18" hidden="0" customWidth="1"/>
  </x:cols>
  <x:sheetData>
    <x:row r="1">
      <x:c r="A1" s="21" t="str">
        <x:v>Global Marine Observations Inventory</x:v>
      </x:c>
      <x:c r="B1" s="21"/>
      <x:c r="C1" s="21"/>
      <x:c r="D1" s="21"/>
      <x:c r="E1" s="21"/>
      <x:c r="F1" s="21"/>
    </x:row>
    <x:row r="3">
      <x:c r="A3" s="6" t="str">
        <x:v>Metric</x:v>
      </x:c>
      <x:c r="B3" s="6" t="str">
        <x:v>Value</x:v>
      </x:c>
      <x:c r="D3" s="6" t="str">
        <x:v>Layer</x:v>
      </x:c>
      <x:c r="E3" s="6" t="str">
        <x:v>Count</x:v>
      </x:c>
    </x:row>
    <x:row r="4">
      <x:c r="A4" t="str">
        <x:v>Total inventory rows</x:v>
      </x:c>
      <x:c r="B4" t="n">
        <x:f>COUNTA('Observation Inventory'!D2:D62)</x:f>
        <x:v>61</x:v>
      </x:c>
      <x:c r="D4" t="str">
        <x:v>Direct network</x:v>
      </x:c>
      <x:c r="E4" t="n">
        <x:f>COUNTIF('Observation Inventory'!B2:B62,"Direct network")</x:f>
        <x:v>19</x:v>
      </x:c>
    </x:row>
    <x:row r="5">
      <x:c r="A5" t="str">
        <x:v>P0 sources</x:v>
      </x:c>
      <x:c r="B5" t="n">
        <x:f>COUNTIF('Observation Inventory'!P2:P62,"P0")</x:f>
        <x:v>28</x:v>
      </x:c>
      <x:c r="D5" t="str">
        <x:v>Satellite/product</x:v>
      </x:c>
      <x:c r="E5" t="n">
        <x:f>COUNTIF('Observation Inventory'!B2:B62,"Satellite/product")</x:f>
        <x:v>18</x:v>
      </x:c>
    </x:row>
    <x:row r="6">
      <x:c r="A6" t="str">
        <x:v>P1 sources</x:v>
      </x:c>
      <x:c r="B6" t="n">
        <x:f>COUNTIF('Observation Inventory'!P2:P62,"P1")</x:f>
        <x:v>25</x:v>
      </x:c>
      <x:c r="D6" t="str">
        <x:v>Archive/aggregator</x:v>
      </x:c>
      <x:c r="E6" t="n">
        <x:f>COUNTIF('Observation Inventory'!B2:B62,"Archive/aggregator")</x:f>
        <x:v>11</x:v>
      </x:c>
    </x:row>
    <x:row r="7">
      <x:c r="A7" t="str">
        <x:v>P2 sources</x:v>
      </x:c>
      <x:c r="B7" t="n">
        <x:f>COUNTIF('Observation Inventory'!P2:P62,"P2")</x:f>
        <x:v>8</x:v>
      </x:c>
      <x:c r="D7" t="str">
        <x:v>Other</x:v>
      </x:c>
      <x:c r="E7" t="n">
        <x:f>COUNTA('Observation Inventory'!B2:B62)-SUM(E4:E6)</x:f>
        <x:v>13</x:v>
      </x:c>
    </x:row>
    <x:row r="9">
      <x:c r="A9" s="6" t="str">
        <x:v>Recommended build sequence</x:v>
      </x:c>
      <x:c r="B9" s="6"/>
      <x:c r="C9" s="6"/>
      <x:c r="D9" s="6"/>
      <x:c r="E9" s="6"/>
      <x:c r="F9" s="6"/>
    </x:row>
    <x:row r="10">
      <x:c r="A10" s="26" t="str">
        <x:v>1</x:v>
      </x:c>
      <x:c r="B10" s="12" t="str">
        <x:v>Operational in-situ backbone</x:v>
      </x:c>
      <x:c r="C10" s="12" t="str">
        <x:v>WIS2 + Copernicus NRT + direct Argo/GDP/DBCP</x:v>
      </x:c>
      <x:c r="D10" s="6" t="str">
        <x:v>Priority</x:v>
      </x:c>
      <x:c r="E10" s="6" t="str">
        <x:v>Count</x:v>
      </x:c>
    </x:row>
    <x:row r="11">
      <x:c r="A11" s="26" t="str">
        <x:v>2</x:v>
      </x:c>
      <x:c r="B11" s="12" t="str">
        <x:v>Satellite physical ocean</x:v>
      </x:c>
      <x:c r="C11" s="12" t="str">
        <x:v>GHRSST L2P + ASCAT + altimetry + sea ice</x:v>
      </x:c>
      <x:c r="D11" t="str">
        <x:v>P0</x:v>
      </x:c>
      <x:c r="E11" t="n">
        <x:f>COUNTIF('Observation Inventory'!P2:P62,"P0")</x:f>
        <x:v>28</x:v>
      </x:c>
    </x:row>
    <x:row r="12">
      <x:c r="A12" s="26" t="str">
        <x:v>3</x:v>
      </x:c>
      <x:c r="B12" s="12" t="str">
        <x:v>Historical training corpus</x:v>
      </x:c>
      <x:c r="C12" s="12" t="str">
        <x:v>WOD + ICOADS + CORA + NCEI/PO.DAAC</x:v>
      </x:c>
      <x:c r="D12" t="str">
        <x:v>P1</x:v>
      </x:c>
      <x:c r="E12" t="n">
        <x:f>COUNTIF('Observation Inventory'!P2:P62,"P1")</x:f>
        <x:v>25</x:v>
      </x:c>
    </x:row>
    <x:row r="13">
      <x:c r="A13" s="26" t="str">
        <x:v>4</x:v>
      </x:c>
      <x:c r="B13" s="12" t="str">
        <x:v>BGC/ecosystem expansion</x:v>
      </x:c>
      <x:c r="C13" s="12" t="str">
        <x:v>BGC-Argo + SOCAT + GLODAP + ocean color + OBIS</x:v>
      </x:c>
      <x:c r="D13" t="str">
        <x:v>P2</x:v>
      </x:c>
      <x:c r="E13" t="n">
        <x:f>COUNTIF('Observation Inventory'!P2:P62,"P2")</x:f>
        <x:v>8</x:v>
      </x:c>
    </x:row>
  </x:sheetData>
  <x:mergeCells>
    <x:mergeCell ref="A1:F1"/>
    <x:mergeCell ref="A9:F9"/>
  </x:mergeCells>
  <x:pageMargins left="0.7" right="0.7" top="0.75" bottom="0.75" header="0.3" footer="0.3"/>
  <x:drawing xmlns:r="http://schemas.openxmlformats.org/officeDocument/2006/relationships" r:id="R4c38d3e5967c495c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31" hidden="0" customWidth="1"/>
    <x:col min="4" max="4" width="45" hidden="0" customWidth="1"/>
    <x:col min="5" max="5" width="40" hidden="0" customWidth="1"/>
    <x:col min="6" max="6" width="40" hidden="0" customWidth="1"/>
    <x:col min="7" max="7" width="25" hidden="0" customWidth="1"/>
    <x:col min="8" max="8" width="14" hidden="0" customWidth="1"/>
    <x:col min="9" max="9" width="18" hidden="0" customWidth="1"/>
    <x:col min="10" max="10" width="55" hidden="0" customWidth="1"/>
    <x:col min="11" max="11" width="52" hidden="0" customWidth="1"/>
  </x:cols>
  <x:sheetData>
    <x:row r="1">
      <x:c r="A1" s="34" t="str">
        <x:v>Buoy Source / Network</x:v>
      </x:c>
      <x:c r="B1" s="34" t="str">
        <x:v>Buoy Type</x:v>
      </x:c>
      <x:c r="C1" s="34" t="str">
        <x:v>Geographic Scope</x:v>
      </x:c>
      <x:c r="D1" s="34" t="str">
        <x:v>Core Variables</x:v>
      </x:c>
      <x:c r="E1" s="34" t="str">
        <x:v>Real-Time Path</x:v>
      </x:c>
      <x:c r="F1" s="34" t="str">
        <x:v>Historical / QC Path</x:v>
      </x:c>
      <x:c r="G1" s="34" t="str">
        <x:v>Typical Operational Latency</x:v>
      </x:c>
      <x:c r="H1" s="34" t="str">
        <x:v>DA Priority</x:v>
      </x:c>
      <x:c r="I1" s="34" t="str">
        <x:v>ML / Archive Priority</x:v>
      </x:c>
      <x:c r="J1" s="34" t="str">
        <x:v>Important Implementation Detail</x:v>
      </x:c>
      <x:c r="K1" s="34" t="str">
        <x:v>Official URL</x:v>
      </x:c>
    </x:row>
    <x:row r="2">
      <x:c r="A2" s="15" t="str">
        <x:v>WMO DBCP / OceanOPS</x:v>
      </x:c>
      <x:c r="B2" s="15" t="str">
        <x:v>Global drifting, moored and polar buoy coordination</x:v>
      </x:c>
      <x:c r="C2" s="15" t="str">
        <x:v>Global</x:v>
      </x:c>
      <x:c r="D2" s="15" t="str">
        <x:v>SST, SLP, wind, air temperature, waves, salinity and other platform-dependent observations</x:v>
      </x:c>
      <x:c r="E2" s="15" t="str">
        <x:v>WMO WIS2 / legacy GTS; BUFR buoy reports</x:v>
      </x:c>
      <x:c r="F2" s="15" t="str">
        <x:v>National centers + archives; OceanOPS for platform metadata</x:v>
      </x:c>
      <x:c r="G2" s="15" t="str">
        <x:v>Minutes to hours</x:v>
      </x:c>
      <x:c r="H2" s="15" t="str">
        <x:v>P0</x:v>
      </x:c>
      <x:c r="I2" s="15" t="str">
        <x:v>P1</x:v>
      </x:c>
      <x:c r="J2" s="15" t="str">
        <x:v>DBCP is the global coordination layer, not a single uniform data file. Use WIS2 for observations and OceanOPS for authoritative platform metadata.</x:v>
      </x:c>
      <x:c r="K2" s="15" t="str">
        <x:v>https://www.ocean-ops.org/dbcp/</x:v>
      </x:c>
    </x:row>
    <x:row r="3">
      <x:c r="A3" s="15" t="str">
        <x:v>NOAA NDBC</x:v>
      </x:c>
      <x:c r="B3" s="15" t="str">
        <x:v>Moored buoys, drifting buoys, DART, coastal stations</x:v>
      </x:c>
      <x:c r="C3" s="15" t="str">
        <x:v>U.S.-centric network with partner observations from other regions</x:v>
      </x:c>
      <x:c r="D3" s="15" t="str">
        <x:v>Wind, SLP, air T, humidity/dew point, SST, waves/spectra; selected currents, water level and ocean data</x:v>
      </x:c>
      <x:c r="E3" s="15" t="str">
        <x:v>NDBC real-time directory/station endpoints; some data also enter WMO exchange</x:v>
      </x:c>
      <x:c r="F3" s="15" t="str">
        <x:v>NDBC monthly/historical QC archives; DODS/OPeNDAP for selected data</x:v>
      </x:c>
      <x:c r="G3" s="15" t="str">
        <x:v>Near-real-time; station-dependent</x:v>
      </x:c>
      <x:c r="H3" s="15" t="str">
        <x:v>P0</x:v>
      </x:c>
      <x:c r="I3" s="15" t="str">
        <x:v>P0</x:v>
      </x:c>
      <x:c r="J3" s="15" t="str">
        <x:v>NDBC reports roughly 240 stations in its own network and also redistributes observations from partner organizations.</x:v>
      </x:c>
      <x:c r="K3" s="15" t="str">
        <x:v>https://www.ndbc.noaa.gov/</x:v>
      </x:c>
    </x:row>
    <x:row r="4">
      <x:c r="A4" s="15" t="str">
        <x:v>Global Drifter Program (GDP)</x:v>
      </x:c>
      <x:c r="B4" s="15" t="str">
        <x:v>Surface drifting buoys</x:v>
      </x:c>
      <x:c r="C4" s="15" t="str">
        <x:v>Global open ocean</x:v>
      </x:c>
      <x:c r="D4" s="15" t="str">
        <x:v>Position, surface currents, SST; many SLP; some additional sensors</x:v>
      </x:c>
      <x:c r="E4" s="15" t="str">
        <x:v>GDP real-time feeds / WMO exchange</x:v>
      </x:c>
      <x:c r="F4" s="15" t="str">
        <x:v>AOML hourly and quality-controlled drifter datasets</x:v>
      </x:c>
      <x:c r="G4" s="15" t="str">
        <x:v>Hours</x:v>
      </x:c>
      <x:c r="H4" s="15" t="str">
        <x:v>P0</x:v>
      </x:c>
      <x:c r="I4" s="15" t="str">
        <x:v>P0</x:v>
      </x:c>
      <x:c r="J4" s="15" t="str">
        <x:v>Track drogue status: currents from undrogued drifters have different error characteristics.</x:v>
      </x:c>
      <x:c r="K4" s="15" t="str">
        <x:v>https://www.aoml.noaa.gov/global-drifter-program/</x:v>
      </x:c>
    </x:row>
    <x:row r="5">
      <x:c r="A5" s="15" t="str">
        <x:v>GTMBA: TAO/TRITON + PIRATA + RAMA</x:v>
      </x:c>
      <x:c r="B5" s="15" t="str">
        <x:v>Tropical moored buoys</x:v>
      </x:c>
      <x:c r="C5" s="15" t="str">
        <x:v>Equatorial/tropical Pacific, Atlantic and Indian oceans</x:v>
      </x:c>
      <x:c r="D5" s="15" t="str">
        <x:v>Ocean T/S, currents, SST, wind, SLP, air T/RH, radiation and fluxes</x:v>
      </x:c>
      <x:c r="E5" s="15" t="str">
        <x:v>WMO GTS/WIS2 operational dissemination</x:v>
      </x:c>
      <x:c r="F5" s="15" t="str">
        <x:v>NOAA PMEL ERDDAP and GTMBA archives</x:v>
      </x:c>
      <x:c r="G5" s="15" t="str">
        <x:v>Many operational reports within a few hours</x:v>
      </x:c>
      <x:c r="H5" s="15" t="str">
        <x:v>P0</x:v>
      </x:c>
      <x:c r="I5" s="15" t="str">
        <x:v>P0</x:v>
      </x:c>
      <x:c r="J5" s="15" t="str">
        <x:v>PMEL states that over half of TAO data placed on GTS are available within 3 h and &gt;90% within 7 h for the referenced pathway.</x:v>
      </x:c>
      <x:c r="K5" s="15" t="str">
        <x:v>https://data.pmel.noaa.gov/pmel/erddap/</x:v>
      </x:c>
    </x:row>
    <x:row r="6">
      <x:c r="A6" s="15" t="str">
        <x:v>OceanSITES</x:v>
      </x:c>
      <x:c r="B6" s="15" t="str">
        <x:v>Deep-ocean reference moorings</x:v>
      </x:c>
      <x:c r="C6" s="15" t="str">
        <x:v>Sparse global reference sites</x:v>
      </x:c>
      <x:c r="D6" s="15" t="str">
        <x:v>T/S, currents, meteorology, O2, carbon/BGC, radiation and site-specific sensors</x:v>
      </x:c>
      <x:c r="E6" s="15" t="str">
        <x:v>Some sites provide NRT telemetry</x:v>
      </x:c>
      <x:c r="F6" s="15" t="str">
        <x:v>OceanSITES GDACs in CF-NetCDF</x:v>
      </x:c>
      <x:c r="G6" s="15" t="str">
        <x:v>Site-dependent: NRT to delayed</x:v>
      </x:c>
      <x:c r="H6" s="15" t="str">
        <x:v>P1</x:v>
      </x:c>
      <x:c r="I6" s="15" t="str">
        <x:v>P0</x:v>
      </x:c>
      <x:c r="J6" s="15" t="str">
        <x:v>Best used as high-quality reference/validation moorings rather than dense global coverage.</x:v>
      </x:c>
      <x:c r="K6" s="15" t="str">
        <x:v>https://www.oceansites.org/data/</x:v>
      </x:c>
    </x:row>
    <x:row r="7">
      <x:c r="A7" s="15" t="str">
        <x:v>International Arctic Buoy Programme (IABP)</x:v>
      </x:c>
      <x:c r="B7" s="15" t="str">
        <x:v>Drifting ice/ocean buoys</x:v>
      </x:c>
      <x:c r="C7" s="15" t="str">
        <x:v>Arctic</x:v>
      </x:c>
      <x:c r="D7" s="15" t="str">
        <x:v>Position/drift, pressure, surface/air temperature and platform-specific sensors</x:v>
      </x:c>
      <x:c r="E7" s="15" t="str">
        <x:v>Selected observations enter GTS</x:v>
      </x:c>
      <x:c r="F7" s="15" t="str">
        <x:v>IABP Level-1 research archive</x:v>
      </x:c>
      <x:c r="G7" s="15" t="str">
        <x:v>Hours to archive-dependent</x:v>
      </x:c>
      <x:c r="H7" s="15" t="str">
        <x:v>P1</x:v>
      </x:c>
      <x:c r="I7" s="15" t="str">
        <x:v>P1</x:v>
      </x:c>
      <x:c r="J7" s="15" t="str">
        <x:v>Unique high-latitude observations in areas where conventional ocean platforms are sparse.</x:v>
      </x:c>
      <x:c r="K7" s="15" t="str">
        <x:v>https://iabp.apl.uw.edu/data.html</x:v>
      </x:c>
    </x:row>
    <x:row r="8">
      <x:c r="A8" s="15" t="str">
        <x:v>International Programme for Antarctic Buoys (IPAB)</x:v>
      </x:c>
      <x:c r="B8" s="15" t="str">
        <x:v>Drifting sea-ice buoys</x:v>
      </x:c>
      <x:c r="C8" s="15" t="str">
        <x:v>Southern Ocean / Antarctic sea ice</x:v>
      </x:c>
      <x:c r="D8" s="15" t="str">
        <x:v>Position/drift, air/surface temperature, atmospheric pressure and platform-specific sensors</x:v>
      </x:c>
      <x:c r="E8" s="15" t="str">
        <x:v>Live observations / GTS for many platforms</x:v>
      </x:c>
      <x:c r="F8" s="15" t="str">
        <x:v>IPAB and Meereisportal; older data less centralized</x:v>
      </x:c>
      <x:c r="G8" s="15" t="str">
        <x:v>Live/raw to delayed archive</x:v>
      </x:c>
      <x:c r="H8" s="15" t="str">
        <x:v>P1</x:v>
      </x:c>
      <x:c r="I8" s="15" t="str">
        <x:v>P1</x:v>
      </x:c>
      <x:c r="J8" s="15" t="str">
        <x:v>Active-buoy data since 2013 are available through Meereisportal; pre-2012 data are less consistently centralized.</x:v>
      </x:c>
      <x:c r="K8" s="15" t="str">
        <x:v>https://www.ipab.aq/data-buoy-types/data/</x:v>
      </x:c>
    </x:row>
    <x:row r="9">
      <x:c r="A9" s="15" t="str">
        <x:v>DART / tsunami buoy networks</x:v>
      </x:c>
      <x:c r="B9" s="15" t="str">
        <x:v>Bottom-pressure recorder + surface relay buoy</x:v>
      </x:c>
      <x:c r="C9" s="15" t="str">
        <x:v>Tsunami-prone ocean basins</x:v>
      </x:c>
      <x:c r="D9" s="15" t="str">
        <x:v>Bottom pressure / water-column height; selected surface observations</x:v>
      </x:c>
      <x:c r="E9" s="15" t="str">
        <x:v>Tsunami warning-center/NDBC real-time feeds</x:v>
      </x:c>
      <x:c r="F9" s="15" t="str">
        <x:v>NDBC/national tsunami historical archives</x:v>
      </x:c>
      <x:c r="G9" s="15" t="str">
        <x:v>Real time; event modes can be high frequency</x:v>
      </x:c>
      <x:c r="H9" s="15" t="str">
        <x:v>P1</x:v>
      </x:c>
      <x:c r="I9" s="15" t="str">
        <x:v>P1</x:v>
      </x:c>
      <x:c r="J9" s="15" t="str">
        <x:v>Specialized sea-level/tsunami observation source, not a substitute for meteorological wave buoys.</x:v>
      </x:c>
      <x:c r="K9" s="15" t="str">
        <x:v>https://www.ndbc.noaa.gov/dart/dart.shtml</x:v>
      </x:c>
    </x:row>
    <x:row r="10">
      <x:c r="A10" s="15" t="str">
        <x:v>Copernicus Marine Global In-Situ</x:v>
      </x:c>
      <x:c r="B10" s="15" t="str">
        <x:v>Aggregator of buoys, drifters, moorings and other platforms</x:v>
      </x:c>
      <x:c r="C10" s="15" t="str">
        <x:v>Global</x:v>
      </x:c>
      <x:c r="D10" s="15" t="str">
        <x:v>T/S, currents, waves, sea level and BGC variables depending source platform</x:v>
      </x:c>
      <x:c r="E10" s="15" t="str">
        <x:v>Copernicus Marine NRT in-situ product</x:v>
      </x:c>
      <x:c r="F10" s="15" t="str">
        <x:v>Copernicus MY/reprocessed in-situ products</x:v>
      </x:c>
      <x:c r="G10" s="15" t="str">
        <x:v>Near-real-time</x:v>
      </x:c>
      <x:c r="H10" s="15" t="str">
        <x:v>P0</x:v>
      </x:c>
      <x:c r="I10" s="15" t="str">
        <x:v>P0</x:v>
      </x:c>
      <x:c r="J10" s="15" t="str">
        <x:v>Very useful harmonization layer, but deduplicate against NDBC, Argo, GDP and other direct sources if they are ingested separately.</x:v>
      </x:c>
      <x:c r="K10" s="15" t="str">
        <x:v>https://data.marine.copernicus.eu/</x:v>
      </x:c>
    </x:row>
    <x:row r="11">
      <x:c r="A11" s="15" t="str">
        <x:v>WMO WIS2 marine/buoy topics</x:v>
      </x:c>
      <x:c r="B11" s="15" t="str">
        <x:v>Operational data-exchange layer</x:v>
      </x:c>
      <x:c r="C11" s="15" t="str">
        <x:v>Global</x:v>
      </x:c>
      <x:c r="D11" s="15" t="str">
        <x:v>BUOY/SHIP and related marine observations encoded in WMO formats</x:v>
      </x:c>
      <x:c r="E11" s="15" t="str">
        <x:v>MQTT notification + HTTPS retrieval</x:v>
      </x:c>
      <x:c r="F11" s="15" t="str">
        <x:v>Long-term archives held by originating/national centers</x:v>
      </x:c>
      <x:c r="G11" s="15" t="str">
        <x:v>Seconds to hours</x:v>
      </x:c>
      <x:c r="H11" s="15" t="str">
        <x:v>P0</x:v>
      </x:c>
      <x:c r="I11" s="15" t="str">
        <x:v>P1</x:v>
      </x:c>
      <x:c r="J11" s="15" t="str">
        <x:v>Use this for the lowest-latency global operational feed; use network archives for richer metadata and delayed QC.</x:v>
      </x:c>
      <x:c r="K11" s="15" t="str">
        <x:v>https://community.wmo.int/site/knowledge-hub/programmes-and-initiatives/wmo-information-system-wis/wis2-overview</x:v>
      </x:c>
    </x:row>
  </x:sheetData>
  <x:pageMargins left="0.7" right="0.7" top="0.75" bottom="0.75" header="0.3" footer="0.3"/>
</x:worksheet>
</file>